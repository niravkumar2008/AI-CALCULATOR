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 2026-10-11" sheetId="2" state="visible" r:id="rId2"/>
    <sheet name="Inputs" sheetId="3" state="visible" r:id="rId3"/>
    <sheet name="Unit cost" sheetId="4" state="visible" r:id="rId4"/>
    <sheet name="API cost" sheetId="5" state="visible" r:id="rId5"/>
    <sheet name="Margins &amp; payback" sheetId="6" state="visible" r:id="rId6"/>
    <sheet name="Versions" sheetId="7" state="visible" r:id="rId7"/>
    <sheet name="Cash budget" sheetId="8" state="visible" r:id="rId8"/>
    <sheet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&quot;$&quot;0.0000"/>
    <numFmt numFmtId="167" formatCode="&quot;$&quot;#,##0"/>
  </numFmts>
  <fonts count="11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theme="1"/>
      <sz val="11"/>
    </font>
    <font>
      <b val="1"/>
      <sz val="13"/>
    </font>
    <font>
      <b val="1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9E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3" fillId="0" borderId="0" pivotButton="0" quotePrefix="0" xfId="0"/>
    <xf numFmtId="166" fontId="4" fillId="0" borderId="0" pivotButton="0" quotePrefix="0" xfId="0"/>
    <xf numFmtId="4" fontId="4" fillId="0" borderId="0" pivotButton="0" quotePrefix="0" xfId="0"/>
    <xf numFmtId="167" fontId="4" fillId="0" borderId="0" pivotButton="0" quotePrefix="0" xfId="0"/>
    <xf numFmtId="164" fontId="5" fillId="3" borderId="0" pivotButton="0" quotePrefix="0" xfId="0"/>
    <xf numFmtId="0" fontId="4" fillId="0" borderId="0" applyAlignment="1" pivotButton="0" quotePrefix="0" xfId="0">
      <alignment vertical="top" wrapText="1"/>
    </xf>
    <xf numFmtId="3" fontId="5" fillId="3" borderId="0" pivotButton="0" quotePrefix="0" xfId="0"/>
    <xf numFmtId="165" fontId="5" fillId="3" borderId="0" pivotButton="0" quotePrefix="0" xfId="0"/>
    <xf numFmtId="0" fontId="5" fillId="3" borderId="0" pivotButton="0" quotePrefix="0" xfId="0"/>
    <xf numFmtId="4" fontId="5" fillId="3" borderId="0" pivotButton="0" quotePrefix="0" xfId="0"/>
    <xf numFmtId="167" fontId="5" fillId="3" borderId="0" pivotButton="0" quotePrefix="0" xfId="0"/>
    <xf numFmtId="166" fontId="5" fillId="3" borderId="0" pivotButton="0" quotePrefix="0" xfId="0"/>
    <xf numFmtId="0" fontId="3" fillId="2" borderId="0" pivotButton="0" quotePrefix="0" xfId="0"/>
    <xf numFmtId="164" fontId="4" fillId="4" borderId="0" pivotButton="0" quotePrefix="0" xfId="0"/>
    <xf numFmtId="164" fontId="6" fillId="4" borderId="0" pivotButton="0" quotePrefix="0" xfId="0"/>
    <xf numFmtId="166" fontId="3" fillId="4" borderId="0" pivotButton="0" quotePrefix="0" xfId="0"/>
    <xf numFmtId="164" fontId="3" fillId="4" borderId="0" pivotButton="0" quotePrefix="0" xfId="0"/>
    <xf numFmtId="0" fontId="7" fillId="2" borderId="0" pivotButton="0" quotePrefix="0" xfId="0"/>
    <xf numFmtId="167" fontId="6" fillId="4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5" borderId="0" pivotButton="0" quotePrefix="0" xfId="0"/>
    <xf numFmtId="0" fontId="0" fillId="6" borderId="0" pivotButton="0" quotePrefix="0" xfId="0"/>
    <xf numFmtId="167" fontId="5" fillId="3" borderId="0" pivotButton="0" quotePrefix="0" xfId="0"/>
    <xf numFmtId="166" fontId="5" fillId="3" borderId="0" pivotButton="0" quotePrefix="0" xfId="0"/>
    <xf numFmtId="166" fontId="3" fillId="4" borderId="0" pivotButton="0" quotePrefix="0" xfId="0"/>
    <xf numFmtId="167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Claude</author>
  </authors>
  <commentList>
    <comment ref="B5" authorId="0" shapeId="0">
      <text>
        <t>2026-10-11 (Nirav): v14 was never ordered. Amount kept for history; see sheet 'Update 2026-10-11'.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AI Calculator cost model: headline numbers</t>
        </is>
      </c>
      <c r="B1" s="2" t="n"/>
      <c r="C1" s="2" t="n"/>
      <c r="D1" s="2" t="n"/>
      <c r="E1" s="2" t="n"/>
    </row>
    <row r="2">
      <c r="A2" s="3" t="inlineStr">
        <is>
          <t>All values are formulas pointing at the other sheets. Edit blue cells on 'Inputs', 'Unit cost' and 'Cash budget'.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/>
      <c r="B4" s="4" t="inlineStr">
        <is>
          <t>5 testers</t>
        </is>
      </c>
      <c r="C4" s="4" t="inlineStr">
        <is>
          <t>10 units</t>
        </is>
      </c>
      <c r="D4" s="4" t="inlineStr">
        <is>
          <t>100 units</t>
        </is>
      </c>
      <c r="E4" s="4" t="inlineStr">
        <is>
          <t>1,000 units</t>
        </is>
      </c>
    </row>
    <row r="5">
      <c r="A5" s="5" t="inlineStr">
        <is>
          <t>Cost per unit (parts, freight, scrap, batch one-time)</t>
        </is>
      </c>
      <c r="B5" s="6">
        <f>'Unit cost'!$C$37</f>
        <v/>
      </c>
      <c r="C5" s="6">
        <f>'Unit cost'!$D$37</f>
        <v/>
      </c>
      <c r="D5" s="6">
        <f>'Unit cost'!$E$37</f>
        <v/>
      </c>
      <c r="E5" s="6">
        <f>'Unit cost'!$F$37</f>
        <v/>
      </c>
    </row>
    <row r="6">
      <c r="A6" s="5" t="inlineStr">
        <is>
          <t>Cost per unit incl. FCC / lawyer / LLC / trademark / insurance</t>
        </is>
      </c>
      <c r="B6" s="6">
        <f>'Unit cost'!$C$40</f>
        <v/>
      </c>
      <c r="C6" s="6">
        <f>'Unit cost'!$D$40</f>
        <v/>
      </c>
      <c r="D6" s="6">
        <f>'Unit cost'!$E$40</f>
        <v/>
      </c>
      <c r="E6" s="6">
        <f>'Unit cost'!$F$40</f>
        <v/>
      </c>
    </row>
    <row r="7">
      <c r="A7" s="5" t="inlineStr">
        <is>
          <t>Hardware profit per $225 unit</t>
        </is>
      </c>
      <c r="B7" s="6">
        <f>'Margins &amp; payback'!B13</f>
        <v/>
      </c>
      <c r="C7" s="6">
        <f>'Margins &amp; payback'!C13</f>
        <v/>
      </c>
      <c r="D7" s="6">
        <f>'Margins &amp; payback'!D13</f>
        <v/>
      </c>
      <c r="E7" s="6">
        <f>'Margins &amp; payback'!E13</f>
        <v/>
      </c>
    </row>
    <row r="8">
      <c r="A8" s="5" t="inlineStr">
        <is>
          <t>Hardware margin %</t>
        </is>
      </c>
      <c r="B8" s="7">
        <f>'Margins &amp; payback'!B14</f>
        <v/>
      </c>
      <c r="C8" s="7">
        <f>'Margins &amp; payback'!C14</f>
        <v/>
      </c>
      <c r="D8" s="7">
        <f>'Margins &amp; payback'!D14</f>
        <v/>
      </c>
      <c r="E8" s="7">
        <f>'Margins &amp; payback'!E14</f>
        <v/>
      </c>
    </row>
    <row r="9">
      <c r="A9" s="5" t="inlineStr">
        <is>
          <t>Subscription profit per paying user per month</t>
        </is>
      </c>
      <c r="B9" s="6">
        <f>'Margins &amp; payback'!B20</f>
        <v/>
      </c>
      <c r="C9" s="6">
        <f>'Margins &amp; payback'!C20</f>
        <v/>
      </c>
      <c r="D9" s="6">
        <f>'Margins &amp; payback'!D20</f>
        <v/>
      </c>
      <c r="E9" s="6">
        <f>'Margins &amp; payback'!E20</f>
        <v/>
      </c>
    </row>
    <row r="10">
      <c r="A10" s="5" t="inlineStr">
        <is>
          <t>Subscription margin %</t>
        </is>
      </c>
      <c r="B10" s="7">
        <f>'Margins &amp; payback'!B21</f>
        <v/>
      </c>
      <c r="C10" s="7">
        <f>'Margins &amp; payback'!C21</f>
        <v/>
      </c>
      <c r="D10" s="7">
        <f>'Margins &amp; payback'!D21</f>
        <v/>
      </c>
      <c r="E10" s="7">
        <f>'Margins &amp; payback'!E21</f>
        <v/>
      </c>
    </row>
    <row r="11">
      <c r="A11" s="5" t="inlineStr">
        <is>
          <t>Total profit per calculator (hardware + 12 months' subscription)</t>
        </is>
      </c>
      <c r="B11" s="6">
        <f>'Margins &amp; payback'!B27</f>
        <v/>
      </c>
      <c r="C11" s="6">
        <f>'Margins &amp; payback'!C27</f>
        <v/>
      </c>
      <c r="D11" s="6">
        <f>'Margins &amp; payback'!D27</f>
        <v/>
      </c>
      <c r="E11" s="6">
        <f>'Margins &amp; payback'!E27</f>
        <v/>
      </c>
    </row>
    <row r="12">
      <c r="A12" s="5" t="inlineStr">
        <is>
          <t>Units to cover this batch's one-time costs</t>
        </is>
      </c>
      <c r="B12" s="8">
        <f>'Margins &amp; payback'!B32</f>
        <v/>
      </c>
      <c r="C12" s="8">
        <f>'Margins &amp; payback'!C32</f>
        <v/>
      </c>
      <c r="D12" s="8">
        <f>'Margins &amp; payback'!D32</f>
        <v/>
      </c>
      <c r="E12" s="8">
        <f>'Margins &amp; payback'!E32</f>
        <v/>
      </c>
    </row>
    <row r="13">
      <c r="A13" s="2" t="n"/>
      <c r="B13" s="2" t="n"/>
      <c r="C13" s="2" t="n"/>
      <c r="D13" s="2" t="n"/>
      <c r="E13" s="2" t="n"/>
    </row>
    <row r="14">
      <c r="A14" s="9" t="inlineStr">
        <is>
          <t>Versions (10 / 100 / 1,000 only; the 5 testers are e-paper)</t>
        </is>
      </c>
      <c r="B14" s="2" t="n"/>
      <c r="C14" s="2" t="n"/>
      <c r="D14" s="2" t="n"/>
      <c r="E14" s="2" t="n"/>
    </row>
    <row r="15">
      <c r="A15" s="5" t="inlineStr">
        <is>
          <t>LCD version: cost per unit incl. selling-legally</t>
        </is>
      </c>
      <c r="B15" s="3" t="inlineStr">
        <is>
          <t>n/a</t>
        </is>
      </c>
      <c r="C15" s="6">
        <f>'Versions'!$C$31</f>
        <v/>
      </c>
      <c r="D15" s="6">
        <f>'Versions'!$D$31</f>
        <v/>
      </c>
      <c r="E15" s="6">
        <f>'Versions'!$E$31</f>
        <v/>
      </c>
    </row>
    <row r="16">
      <c r="A16" s="5" t="inlineStr">
        <is>
          <t>LCD version: hardware profit per $225 unit</t>
        </is>
      </c>
      <c r="B16" s="3" t="inlineStr">
        <is>
          <t>n/a</t>
        </is>
      </c>
      <c r="C16" s="6">
        <f>'Versions'!$C$36</f>
        <v/>
      </c>
      <c r="D16" s="6">
        <f>'Versions'!$D$36</f>
        <v/>
      </c>
      <c r="E16" s="6">
        <f>'Versions'!$E$36</f>
        <v/>
      </c>
    </row>
    <row r="17">
      <c r="A17" s="5" t="inlineStr">
        <is>
          <t>E-paper + 1,200-1,500 mAh: cost per unit incl. selling-legally</t>
        </is>
      </c>
      <c r="B17" s="3" t="inlineStr">
        <is>
          <t>n/a</t>
        </is>
      </c>
      <c r="C17" s="6">
        <f>'Versions'!$C$32</f>
        <v/>
      </c>
      <c r="D17" s="6">
        <f>'Versions'!$D$32</f>
        <v/>
      </c>
      <c r="E17" s="6">
        <f>'Versions'!$E$32</f>
        <v/>
      </c>
    </row>
    <row r="18">
      <c r="A18" s="5" t="inlineStr">
        <is>
          <t>LCD + 1,200-1,500 mAh: cost per unit incl. selling-legally</t>
        </is>
      </c>
      <c r="B18" s="3" t="inlineStr">
        <is>
          <t>n/a</t>
        </is>
      </c>
      <c r="C18" s="6">
        <f>'Versions'!$C$33</f>
        <v/>
      </c>
      <c r="D18" s="6">
        <f>'Versions'!$D$33</f>
        <v/>
      </c>
      <c r="E18" s="6">
        <f>'Versions'!$E$33</f>
        <v/>
      </c>
    </row>
    <row r="19">
      <c r="A19" s="5" t="inlineStr">
        <is>
          <t>LCD + 1,200-1,500 mAh: hardware profit per $225 unit</t>
        </is>
      </c>
      <c r="B19" s="3" t="inlineStr">
        <is>
          <t>n/a</t>
        </is>
      </c>
      <c r="C19" s="6">
        <f>'Versions'!$C$38</f>
        <v/>
      </c>
      <c r="D19" s="6">
        <f>'Versions'!$D$38</f>
        <v/>
      </c>
      <c r="E19" s="6">
        <f>'Versions'!$E$38</f>
        <v/>
      </c>
    </row>
    <row r="20">
      <c r="A20" s="2" t="n"/>
      <c r="B20" s="2" t="n"/>
      <c r="C20" s="2" t="n"/>
      <c r="D20" s="2" t="n"/>
      <c r="E20" s="2" t="n"/>
    </row>
    <row r="21">
      <c r="A21" s="9" t="inlineStr">
        <is>
          <t>Claude API</t>
        </is>
      </c>
      <c r="B21" s="2" t="n"/>
      <c r="C21" s="2" t="n"/>
      <c r="D21" s="2" t="n"/>
      <c r="E21" s="2" t="n"/>
    </row>
    <row r="22">
      <c r="A22" s="5" t="inlineStr">
        <is>
          <t>Model</t>
        </is>
      </c>
      <c r="B22" s="5">
        <f>'Inputs'!$B$20</f>
        <v/>
      </c>
      <c r="C22" s="2" t="n"/>
      <c r="D22" s="2" t="n"/>
      <c r="E22" s="2" t="n"/>
    </row>
    <row r="23">
      <c r="A23" s="5" t="inlineStr">
        <is>
          <t>Cost per solve</t>
        </is>
      </c>
      <c r="B23" s="28">
        <f>'API cost'!$B$15</f>
        <v/>
      </c>
      <c r="C23" s="2" t="n"/>
      <c r="D23" s="2" t="n"/>
      <c r="E23" s="2" t="n"/>
    </row>
    <row r="24">
      <c r="A24" s="5" t="inlineStr">
        <is>
          <t>API cost per subscriber per month (typical use)</t>
        </is>
      </c>
      <c r="B24" s="6">
        <f>'API cost'!$B$17</f>
        <v/>
      </c>
      <c r="C24" s="2" t="n"/>
      <c r="D24" s="2" t="n"/>
      <c r="E24" s="2" t="n"/>
    </row>
    <row r="25">
      <c r="A25" s="5" t="inlineStr">
        <is>
          <t>API cost per month for a user at the 500 cap</t>
        </is>
      </c>
      <c r="B25" s="6">
        <f>'API cost'!$B$18</f>
        <v/>
      </c>
      <c r="C25" s="2" t="n"/>
      <c r="D25" s="2" t="n"/>
      <c r="E25" s="2" t="n"/>
    </row>
    <row r="26">
      <c r="A26" s="5" t="inlineStr">
        <is>
          <t>Solves per day that $15 pays for (break-even)</t>
        </is>
      </c>
      <c r="B26" s="11">
        <f>'API cost'!$B$20</f>
        <v/>
      </c>
      <c r="C26" s="2" t="n"/>
      <c r="D26" s="2" t="n"/>
      <c r="E26" s="2" t="n"/>
    </row>
    <row r="27">
      <c r="A27" s="5" t="inlineStr">
        <is>
          <t>Suggested fair-use cap (solves/month) for break-even</t>
        </is>
      </c>
      <c r="B27" s="8">
        <f>'API cost'!$B$21</f>
        <v/>
      </c>
      <c r="C27" s="2" t="n"/>
      <c r="D27" s="2" t="n"/>
      <c r="E27" s="2" t="n"/>
    </row>
    <row r="28">
      <c r="A28" s="5" t="inlineStr">
        <is>
          <t>Same API cost per month on Sonnet 5.5 (typical)</t>
        </is>
      </c>
      <c r="B28" s="6">
        <f>'API cost'!D31</f>
        <v/>
      </c>
      <c r="C28" s="2" t="n"/>
      <c r="D28" s="2" t="n"/>
      <c r="E28" s="2" t="n"/>
    </row>
    <row r="29">
      <c r="A29" s="5" t="inlineStr">
        <is>
          <t>Same on Sonnet 5.5 for a user at the 500 cap</t>
        </is>
      </c>
      <c r="B29" s="6">
        <f>'API cost'!F31</f>
        <v/>
      </c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9" t="inlineStr">
        <is>
          <t>The $2,000</t>
        </is>
      </c>
      <c r="B31" s="2" t="n"/>
      <c r="C31" s="2" t="n"/>
      <c r="D31" s="2" t="n"/>
      <c r="E31" s="2" t="n"/>
    </row>
    <row r="32">
      <c r="A32" s="5" t="inlineStr">
        <is>
          <t>Planned spend (5 testers → v15 order + panels → v15-LCD pilot)</t>
        </is>
      </c>
      <c r="B32" s="6">
        <f>'Cash budget'!$D$19</f>
        <v/>
      </c>
      <c r="C32" s="2" t="n"/>
      <c r="D32" s="2" t="n"/>
      <c r="E32" s="2" t="n"/>
    </row>
    <row r="33">
      <c r="A33" s="5" t="inlineStr">
        <is>
          <t>Left over</t>
        </is>
      </c>
      <c r="B33" s="6">
        <f>'Cash budget'!$D$21</f>
        <v/>
      </c>
      <c r="C33" s="2" t="n"/>
      <c r="D33" s="2" t="n"/>
      <c r="E33" s="2" t="n"/>
    </row>
    <row r="34">
      <c r="A34" s="5" t="inlineStr">
        <is>
          <t>Cash needed before the first 100 public units</t>
        </is>
      </c>
      <c r="B34" s="29">
        <f>'Cash budget'!$D$26</f>
        <v/>
      </c>
      <c r="C34" s="2" t="n"/>
      <c r="D34" s="2" t="n"/>
      <c r="E34" s="2" t="n"/>
    </row>
    <row r="35">
      <c r="A35" s="5" t="inlineStr">
        <is>
          <t>Pre-orders at $225 that would fund it</t>
        </is>
      </c>
      <c r="B35" s="8">
        <f>'Cash budget'!$D$27</f>
        <v/>
      </c>
      <c r="C35" s="2" t="n"/>
      <c r="D35" s="2" t="n"/>
      <c r="E3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80" customWidth="1" min="5" max="5"/>
  </cols>
  <sheetData>
    <row r="1">
      <c r="A1" s="30" t="inlineStr">
        <is>
          <t>Update 2026-10-11: Proofline prices, v15 ordered (details not recorded), 5 samples then bulk</t>
        </is>
      </c>
    </row>
    <row r="2">
      <c r="A2" t="inlineStr">
        <is>
          <t>Facts from Nirav 2026-10-11. Blue = input. Older sheets are kept as history; where they disagree, this sheet wins. v14 was never ordered. v15 order total/vendor/qty/date NOT RECORDED: B19 is the old estimate.</t>
        </is>
      </c>
    </row>
    <row r="4">
      <c r="A4" s="31" t="inlineStr">
        <is>
          <t>INPUTS</t>
        </is>
      </c>
    </row>
    <row r="5">
      <c r="A5" t="inlineStr">
        <is>
          <t>Device price</t>
        </is>
      </c>
      <c r="B5" s="32" t="n">
        <v>225</v>
      </c>
      <c r="E5" t="inlineStr">
        <is>
          <t>Nirav 2026-10-11</t>
        </is>
      </c>
    </row>
    <row r="6">
      <c r="A6" t="inlineStr">
        <is>
          <t>Plan, monthly</t>
        </is>
      </c>
      <c r="B6" s="32" t="n">
        <v>10</v>
      </c>
      <c r="E6" t="inlineStr">
        <is>
          <t>$/month</t>
        </is>
      </c>
    </row>
    <row r="7">
      <c r="A7" t="inlineStr">
        <is>
          <t>Plan, yearly</t>
        </is>
      </c>
      <c r="B7" s="32" t="n">
        <v>100</v>
      </c>
      <c r="E7" t="inlineStr">
        <is>
          <t>$/year (2 months free)</t>
        </is>
      </c>
    </row>
    <row r="8">
      <c r="A8" t="inlineStr">
        <is>
          <t>AI spend cap per account per month</t>
        </is>
      </c>
      <c r="B8" s="32" t="n">
        <v>5</v>
      </c>
      <c r="E8" t="inlineStr">
        <is>
          <t>$</t>
        </is>
      </c>
    </row>
    <row r="9">
      <c r="A9" t="inlineStr">
        <is>
          <t>Solve cap per account per month</t>
        </is>
      </c>
      <c r="B9" s="32" t="n">
        <v>300</v>
      </c>
      <c r="E9" t="inlineStr">
        <is>
          <t>solves</t>
        </is>
      </c>
    </row>
    <row r="10">
      <c r="A10" t="inlineStr">
        <is>
          <t>AI cost per solve</t>
        </is>
      </c>
      <c r="B10" s="32" t="n">
        <v>0.026</v>
      </c>
      <c r="E10" t="inlineStr">
        <is>
          <t>LAUNCH_ROADMAP.md 3.3, Sonnet 5.5 row (estimate)</t>
        </is>
      </c>
    </row>
    <row r="11">
      <c r="A11" t="inlineStr">
        <is>
          <t>Typical solves per user per month</t>
        </is>
      </c>
      <c r="B11" s="32" t="n">
        <v>150</v>
      </c>
      <c r="E11" t="inlineStr">
        <is>
          <t>LAUNCH_ROADMAP.md 3.3 typical (estimate)</t>
        </is>
      </c>
    </row>
    <row r="12">
      <c r="A12" t="inlineStr">
        <is>
          <t>Stripe percent</t>
        </is>
      </c>
      <c r="B12" s="32" t="n">
        <v>0.029</v>
      </c>
      <c r="E12" t="inlineStr">
        <is>
          <t>Inputs sheet</t>
        </is>
      </c>
    </row>
    <row r="13">
      <c r="A13" t="inlineStr">
        <is>
          <t>Stripe fixed per charge</t>
        </is>
      </c>
      <c r="B13" s="32" t="n">
        <v>0.3</v>
      </c>
      <c r="E13" t="inlineStr">
        <is>
          <t>Inputs sheet</t>
        </is>
      </c>
    </row>
    <row r="14">
      <c r="A14" t="inlineStr">
        <is>
          <t>Stripe Billing percent (subscriptions)</t>
        </is>
      </c>
      <c r="B14" s="32" t="n">
        <v>0.007</v>
      </c>
      <c r="E14" t="inlineStr">
        <is>
          <t>Nirav 2026-10-11</t>
        </is>
      </c>
    </row>
    <row r="15">
      <c r="A15" t="inlineStr">
        <is>
          <t>Cloudflare Workers per month</t>
        </is>
      </c>
      <c r="B15" s="32" t="n">
        <v>5</v>
      </c>
      <c r="E15" t="inlineStr">
        <is>
          <t>when needed</t>
        </is>
      </c>
    </row>
    <row r="16">
      <c r="A16" t="inlineStr">
        <is>
          <t>Conversion after the free month</t>
        </is>
      </c>
      <c r="B16" s="32" t="n">
        <v>0.7</v>
      </c>
      <c r="E16" t="inlineStr">
        <is>
          <t>Inputs sheet (guess)</t>
        </is>
      </c>
    </row>
    <row r="17">
      <c r="A17" t="inlineStr">
        <is>
          <t>Monthly churn</t>
        </is>
      </c>
      <c r="B17" s="32" t="n">
        <v>0.08</v>
      </c>
      <c r="E17" t="inlineStr">
        <is>
          <t>Inputs sheet (guess)</t>
        </is>
      </c>
    </row>
    <row r="18">
      <c r="A18" t="inlineStr">
        <is>
          <t>Unit cost LCD 150 mAh @100 before selling-legally</t>
        </is>
      </c>
      <c r="B18" s="32" t="n">
        <v>42.22</v>
      </c>
      <c r="E18" t="inlineStr">
        <is>
          <t>Versions sheet</t>
        </is>
      </c>
    </row>
    <row r="19">
      <c r="A19" t="inlineStr">
        <is>
          <t>v15 order (ordered; REAL TOTAL NOT RECORDED)</t>
        </is>
      </c>
      <c r="B19" s="32" t="n">
        <v>270</v>
      </c>
      <c r="E19" t="inlineStr">
        <is>
          <t>Inputs v15_order estimate - replace</t>
        </is>
      </c>
    </row>
    <row r="20">
      <c r="A20" t="inlineStr">
        <is>
          <t>Selling-legally one-time</t>
        </is>
      </c>
      <c r="B20" s="32" t="n">
        <v>3547</v>
      </c>
      <c r="E20" t="inlineStr">
        <is>
          <t>FCC + lawyer + LLC + TM + insurance</t>
        </is>
      </c>
    </row>
    <row r="21">
      <c r="A21" t="inlineStr">
        <is>
          <t>Budget</t>
        </is>
      </c>
      <c r="B21" s="32" t="n">
        <v>2000</v>
      </c>
      <c r="E21" t="inlineStr"/>
    </row>
    <row r="23">
      <c r="A23" s="31" t="inlineStr">
        <is>
          <t>SUBSCRIPTION (per paying user per month)</t>
        </is>
      </c>
    </row>
    <row r="24">
      <c r="A24" t="inlineStr">
        <is>
          <t>Monthly plan net</t>
        </is>
      </c>
      <c r="B24">
        <f>B6-(B6*(B12+B14)+B13)</f>
        <v/>
      </c>
      <c r="E24" t="inlineStr">
        <is>
          <t>≈ 9.34</t>
        </is>
      </c>
    </row>
    <row r="25">
      <c r="A25" t="inlineStr">
        <is>
          <t>Yearly plan net per month</t>
        </is>
      </c>
      <c r="B25">
        <f>(B7-(B7*(B12+B14)+B13))/12</f>
        <v/>
      </c>
      <c r="E25" t="inlineStr">
        <is>
          <t>≈ 8.01</t>
        </is>
      </c>
    </row>
    <row r="26">
      <c r="A26" t="inlineStr">
        <is>
          <t>AI typical per month</t>
        </is>
      </c>
      <c r="B26">
        <f>MIN(B10*B11,B8)</f>
        <v/>
      </c>
      <c r="E26" t="inlineStr">
        <is>
          <t>≈ 3.90</t>
        </is>
      </c>
    </row>
    <row r="27">
      <c r="A27" t="inlineStr">
        <is>
          <t>Solves until the $ cap</t>
        </is>
      </c>
      <c r="B27">
        <f>B8/B10</f>
        <v/>
      </c>
      <c r="E27" t="inlineStr">
        <is>
          <t>≈ 192: the $5 cap binds before 300 solves</t>
        </is>
      </c>
    </row>
    <row r="28">
      <c r="A28" t="inlineStr">
        <is>
          <t>Left, 30 % yearly</t>
        </is>
      </c>
      <c r="B28">
        <f>0.7*B24+0.3*B25-B26</f>
        <v/>
      </c>
      <c r="E28" t="inlineStr">
        <is>
          <t>≈ 5.04</t>
        </is>
      </c>
    </row>
    <row r="29">
      <c r="A29" t="inlineStr">
        <is>
          <t>Left, 50 % yearly</t>
        </is>
      </c>
      <c r="B29">
        <f>0.5*B24+0.5*B25-B26</f>
        <v/>
      </c>
      <c r="E29" t="inlineStr">
        <is>
          <t>≈ 4.77</t>
        </is>
      </c>
    </row>
    <row r="30">
      <c r="A30" t="inlineStr">
        <is>
          <t>Left, 70 % yearly</t>
        </is>
      </c>
      <c r="B30">
        <f>0.3*B24+0.7*B25-B26</f>
        <v/>
      </c>
      <c r="E30" t="inlineStr">
        <is>
          <t>≈ 4.51</t>
        </is>
      </c>
    </row>
    <row r="31">
      <c r="A31" t="inlineStr">
        <is>
          <t>Left at the cap, 50 % yearly</t>
        </is>
      </c>
      <c r="B31">
        <f>0.5*B24+0.5*B25-B8</f>
        <v/>
      </c>
      <c r="E31" t="inlineStr">
        <is>
          <t>≈ 3.67</t>
        </is>
      </c>
    </row>
    <row r="32">
      <c r="A32" t="inlineStr">
        <is>
          <t>Monthly payer paid months in months 2-12</t>
        </is>
      </c>
      <c r="B32">
        <f>(1-(1-B17)^11)/B17</f>
        <v/>
      </c>
      <c r="E32" t="inlineStr">
        <is>
          <t>≈ 7.50</t>
        </is>
      </c>
    </row>
    <row r="33">
      <c r="A33" t="inlineStr">
        <is>
          <t>Monthly payer 12-month value</t>
        </is>
      </c>
      <c r="B33">
        <f>B32*(B24-B26)</f>
        <v/>
      </c>
      <c r="E33" t="inlineStr">
        <is>
          <t>≈ 40.82</t>
        </is>
      </c>
    </row>
    <row r="34">
      <c r="A34" t="inlineStr">
        <is>
          <t>Yearly payer 12-month value</t>
        </is>
      </c>
      <c r="B34">
        <f>(B7-(B7*(B12+B14)+B13))-12*B26</f>
        <v/>
      </c>
      <c r="E34" t="inlineStr">
        <is>
          <t>≈ 49.30</t>
        </is>
      </c>
    </row>
    <row r="35">
      <c r="A35" t="inlineStr">
        <is>
          <t>12-month value per device sold, 50 % yearly</t>
        </is>
      </c>
      <c r="B35">
        <f>B16*(0.5*B34+0.5*B33)</f>
        <v/>
      </c>
      <c r="E35" t="inlineStr">
        <is>
          <t>≈ 31.54</t>
        </is>
      </c>
    </row>
    <row r="37">
      <c r="A37" s="31" t="inlineStr">
        <is>
          <t>HARDWARE (per $225 unit, LCD v15)</t>
        </is>
      </c>
    </row>
    <row r="38">
      <c r="A38" t="inlineStr">
        <is>
          <t>Before unit cost: price - card fee - shipping - 3 % warranty - free-month AI</t>
        </is>
      </c>
      <c r="B38">
        <f>B5-(B5*B12+B13)-6-0.03*B5-B26</f>
        <v/>
      </c>
      <c r="E38" t="inlineStr">
        <is>
          <t>≈ 201.52 (shipping $6, warranty 3 % from Inputs)</t>
        </is>
      </c>
    </row>
    <row r="39">
      <c r="A39" t="inlineStr">
        <is>
          <t>Contribution @100 before selling-legally</t>
        </is>
      </c>
      <c r="B39">
        <f>B38-B18</f>
        <v/>
      </c>
      <c r="E39" t="inlineStr">
        <is>
          <t>≈ 159.30</t>
        </is>
      </c>
    </row>
    <row r="40">
      <c r="A40" t="inlineStr">
        <is>
          <t>Break-even units: selling-legally</t>
        </is>
      </c>
      <c r="B40">
        <f>ROUNDUP(B20/B39,0)</f>
        <v/>
      </c>
      <c r="E40" t="inlineStr">
        <is>
          <t>≈ 23</t>
        </is>
      </c>
    </row>
    <row r="41">
      <c r="A41" t="inlineStr">
        <is>
          <t>Break-even units: + budget + 12 months Cloudflare</t>
        </is>
      </c>
      <c r="B41">
        <f>ROUNDUP((B20+B21+12*B15)/B39,0)</f>
        <v/>
      </c>
      <c r="E41" t="inlineStr">
        <is>
          <t>≈ 36</t>
        </is>
      </c>
    </row>
    <row r="42">
      <c r="A42" t="inlineStr">
        <is>
          <t>Same with 12-month subscription</t>
        </is>
      </c>
      <c r="B42">
        <f>ROUNDUP((B20+B21+12*B15)/(B39+B35),0)</f>
        <v/>
      </c>
      <c r="E42" t="inlineStr">
        <is>
          <t>≈ 30</t>
        </is>
      </c>
    </row>
    <row r="44">
      <c r="A44" s="31" t="inlineStr">
        <is>
          <t>CASH vs $2,000</t>
        </is>
      </c>
    </row>
    <row r="45">
      <c r="A45" t="inlineStr">
        <is>
          <t>v15 order (estimate)</t>
        </is>
      </c>
      <c r="B45">
        <f>B19</f>
        <v/>
      </c>
      <c r="E45" t="inlineStr"/>
    </row>
    <row r="46">
      <c r="A46" t="inlineStr">
        <is>
          <t>Parts for 5 v15 samples = 5 x (91.92 - 18.00 board)</t>
        </is>
      </c>
      <c r="B46" s="32" t="n">
        <v>369.6</v>
      </c>
      <c r="E46" t="inlineStr">
        <is>
          <t>Versions LCD @10 minus board</t>
        </is>
      </c>
    </row>
    <row r="47">
      <c r="A47" t="inlineStr">
        <is>
          <t>Knockoff shell samples</t>
        </is>
      </c>
      <c r="B47" s="32" t="n">
        <v>60</v>
      </c>
      <c r="E47" t="inlineStr"/>
    </row>
    <row r="48">
      <c r="A48" t="inlineStr">
        <is>
          <t>Bulk supplier samples</t>
        </is>
      </c>
      <c r="B48" s="32" t="n">
        <v>90</v>
      </c>
      <c r="E48" t="inlineStr"/>
    </row>
    <row r="49">
      <c r="A49" t="inlineStr">
        <is>
          <t>Cloudflare, 3 months</t>
        </is>
      </c>
      <c r="B49">
        <f>3*B15</f>
        <v/>
      </c>
      <c r="E49" t="inlineStr"/>
    </row>
    <row r="50">
      <c r="A50" t="inlineStr">
        <is>
          <t>AI free month for 5 sample users at the cap</t>
        </is>
      </c>
      <c r="B50">
        <f>5*B8</f>
        <v/>
      </c>
      <c r="E50" t="inlineStr"/>
    </row>
    <row r="51">
      <c r="A51" t="inlineStr">
        <is>
          <t>Lawyer / IP clinic</t>
        </is>
      </c>
      <c r="B51" s="32" t="n">
        <v>150</v>
      </c>
      <c r="E51" t="inlineStr"/>
    </row>
    <row r="52">
      <c r="A52" t="inlineStr">
        <is>
          <t>Company filing (repo has only the Indiana LLC $97)</t>
        </is>
      </c>
      <c r="B52" s="32" t="n">
        <v>97</v>
      </c>
      <c r="E52" t="inlineStr">
        <is>
          <t>replace with Proofline Corporation's real fee</t>
        </is>
      </c>
    </row>
    <row r="53">
      <c r="A53" t="inlineStr">
        <is>
          <t>Domain + email</t>
        </is>
      </c>
      <c r="B53" s="32" t="n">
        <v>20</v>
      </c>
      <c r="E53" t="inlineStr"/>
    </row>
    <row r="54">
      <c r="A54" t="inlineStr">
        <is>
          <t>Subtotal</t>
        </is>
      </c>
      <c r="B54">
        <f>SUM(B45:B53)</f>
        <v/>
      </c>
      <c r="E54" t="inlineStr">
        <is>
          <t>≈ 1,096.60</t>
        </is>
      </c>
    </row>
    <row r="55">
      <c r="A55" t="inlineStr">
        <is>
          <t>10 % contingency</t>
        </is>
      </c>
      <c r="B55">
        <f>0.1*B54</f>
        <v/>
      </c>
      <c r="E55" t="inlineStr"/>
    </row>
    <row r="56">
      <c r="A56" t="inlineStr">
        <is>
          <t>TOTAL</t>
        </is>
      </c>
      <c r="B56" s="33">
        <f>B54+B55</f>
        <v/>
      </c>
      <c r="E56" t="inlineStr">
        <is>
          <t>≈ 1,206.26</t>
        </is>
      </c>
    </row>
    <row r="57">
      <c r="A57" t="inlineStr">
        <is>
          <t>LEFT FROM BUDGET</t>
        </is>
      </c>
      <c r="B57" s="33">
        <f>B21-B56</f>
        <v/>
      </c>
      <c r="E57" t="inlineStr">
        <is>
          <t>≈ 793.74</t>
        </is>
      </c>
    </row>
    <row r="58">
      <c r="A58" t="inlineStr">
        <is>
          <t>First 100 units + selling legally (not in budget)</t>
        </is>
      </c>
      <c r="B58" s="32" t="n">
        <v>7770</v>
      </c>
      <c r="E58" t="inlineStr">
        <is>
          <t>UNIT_ECONOMICS.md 5</t>
        </is>
      </c>
    </row>
    <row r="59">
      <c r="A59" t="inlineStr">
        <is>
          <t>Preorders needed at $225</t>
        </is>
      </c>
      <c r="B59">
        <f>ROUNDUP((B58-MAX(0,B57))/(B5*(1-B12)-B13),0)</f>
        <v/>
      </c>
      <c r="E59" t="inlineStr">
        <is>
          <t>≈ 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10" customWidth="1" min="4" max="4"/>
    <col width="14" customWidth="1" min="5" max="5"/>
    <col width="70" customWidth="1" min="6" max="6"/>
  </cols>
  <sheetData>
    <row r="1">
      <c r="A1" s="1" t="inlineStr">
        <is>
          <t>Inputs: every blue number is an assumption you can edit. Black = formula.</t>
        </is>
      </c>
      <c r="B1" s="2" t="n"/>
      <c r="C1" s="2" t="n"/>
      <c r="D1" s="2" t="n"/>
      <c r="E1" s="2" t="n"/>
      <c r="F1" s="2" t="n"/>
    </row>
    <row r="2">
      <c r="A2" s="3" t="inlineStr">
        <is>
          <t>Written 2026-10-06, updated 2026-10-08 evening (5 v14 testers, v15-LCD verified ORDER with the BuyDisplay ER-TFT019-1 panel, bigger battery). Sources beside each input. (estimate) = no hard source; confirm by quote.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 / why</t>
        </is>
      </c>
      <c r="E4" s="2" t="n"/>
      <c r="F4" s="2" t="n"/>
    </row>
    <row r="5">
      <c r="A5" s="9" t="inlineStr">
        <is>
          <t>Pricing and fees</t>
        </is>
      </c>
      <c r="B5" s="2" t="n"/>
      <c r="C5" s="2" t="n"/>
      <c r="D5" s="2" t="n"/>
      <c r="E5" s="2" t="n"/>
      <c r="F5" s="2" t="n"/>
    </row>
    <row r="6">
      <c r="A6" s="5" t="inlineStr">
        <is>
          <t>Calculator price</t>
        </is>
      </c>
      <c r="B6" s="13" t="n">
        <v>225</v>
      </c>
      <c r="C6" s="5" t="inlineStr">
        <is>
          <t>$</t>
        </is>
      </c>
      <c r="D6" s="14" t="inlineStr">
        <is>
          <t>Decided 2026-10-04 (LAUNCH_ROADMAP.md §0).</t>
        </is>
      </c>
      <c r="E6" s="2" t="n"/>
      <c r="F6" s="2" t="n"/>
    </row>
    <row r="7">
      <c r="A7" s="5" t="inlineStr">
        <is>
          <t>Subscription price per month</t>
        </is>
      </c>
      <c r="B7" s="13" t="n">
        <v>15</v>
      </c>
      <c r="C7" s="5" t="inlineStr">
        <is>
          <t>$/month</t>
        </is>
      </c>
      <c r="D7" s="14" t="inlineStr">
        <is>
          <t>Decided 2026-10-04 (LAUNCH_ROADMAP.md §0).</t>
        </is>
      </c>
      <c r="E7" s="2" t="n"/>
      <c r="F7" s="2" t="n"/>
    </row>
    <row r="8">
      <c r="A8" s="5" t="inlineStr">
        <is>
          <t>Free months at the start</t>
        </is>
      </c>
      <c r="B8" s="15" t="n">
        <v>1</v>
      </c>
      <c r="C8" s="5" t="inlineStr">
        <is>
          <t>months</t>
        </is>
      </c>
      <c r="D8" s="14" t="inlineStr">
        <is>
          <t>First month free = proxy TRIAL_DAYS=30 (server/proxy/config.py).</t>
        </is>
      </c>
      <c r="E8" s="2" t="n"/>
      <c r="F8" s="2" t="n"/>
    </row>
    <row r="9">
      <c r="A9" s="5" t="inlineStr">
        <is>
          <t>Fair-use cap, solves per month</t>
        </is>
      </c>
      <c r="B9" s="15" t="n">
        <v>500</v>
      </c>
      <c r="C9" s="5" t="inlineStr">
        <is>
          <t>solves</t>
        </is>
      </c>
      <c r="D9" s="14" t="inlineStr">
        <is>
          <t>Proxy MONTHLY_CAP=500 (server/proxy/config.py).</t>
        </is>
      </c>
      <c r="E9" s="2" t="n"/>
      <c r="F9" s="2" t="n"/>
    </row>
    <row r="10">
      <c r="A10" s="5" t="inlineStr">
        <is>
          <t>Card fee, percent</t>
        </is>
      </c>
      <c r="B10" s="16" t="n">
        <v>0.029</v>
      </c>
      <c r="C10" s="5" t="inlineStr">
        <is>
          <t>%</t>
        </is>
      </c>
      <c r="D10" s="14" t="inlineStr">
        <is>
          <t>Stripe US standard online card rate 2.9 % + 30¢ (estimate; check your Stripe dashboard).</t>
        </is>
      </c>
      <c r="E10" s="2" t="n"/>
      <c r="F10" s="2" t="n"/>
    </row>
    <row r="11">
      <c r="A11" s="5" t="inlineStr">
        <is>
          <t>Card fee, fixed per charge</t>
        </is>
      </c>
      <c r="B11" s="13" t="n">
        <v>0.3</v>
      </c>
      <c r="C11" s="5" t="inlineStr">
        <is>
          <t>$</t>
        </is>
      </c>
      <c r="D11" s="14" t="inlineStr">
        <is>
          <t>Stripe US standard 30¢ per charge (estimate).</t>
        </is>
      </c>
      <c r="E11" s="2" t="n"/>
      <c r="F11" s="2" t="n"/>
    </row>
    <row r="12">
      <c r="A12" s="5" t="inlineStr">
        <is>
          <t>Shipping one calculator to a customer</t>
        </is>
      </c>
      <c r="B12" s="13" t="n">
        <v>6</v>
      </c>
      <c r="C12" s="5" t="inlineStr">
        <is>
          <t>$</t>
        </is>
      </c>
      <c r="D12" s="14" t="inlineStr">
        <is>
          <t>USPS Ground Advantage, ~8 oz padded box, zone 4-5 (estimate).</t>
        </is>
      </c>
      <c r="E12" s="2" t="n"/>
      <c r="F12" s="2" t="n"/>
    </row>
    <row r="13">
      <c r="A13" s="5" t="inlineStr">
        <is>
          <t>Returns / warranty allowance (% of price)</t>
        </is>
      </c>
      <c r="B13" s="16" t="n">
        <v>0.03</v>
      </c>
      <c r="C13" s="5" t="inlineStr">
        <is>
          <t>%</t>
        </is>
      </c>
      <c r="D13" s="14" t="inlineStr">
        <is>
          <t>Roadmap §5: budget 2-5 % of units needing help or replacement (estimate).</t>
        </is>
      </c>
      <c r="E13" s="2" t="n"/>
      <c r="F13" s="2" t="n"/>
    </row>
    <row r="14">
      <c r="A14" s="9" t="inlineStr">
        <is>
          <t>Subscription behaviour</t>
        </is>
      </c>
      <c r="B14" s="2" t="n"/>
      <c r="C14" s="2" t="n"/>
      <c r="D14" s="2" t="n"/>
      <c r="E14" s="2" t="n"/>
      <c r="F14" s="2" t="n"/>
    </row>
    <row r="15">
      <c r="A15" s="5" t="inlineStr">
        <is>
          <t>Buyers who start paying after the free month</t>
        </is>
      </c>
      <c r="B15" s="16" t="n">
        <v>0.7</v>
      </c>
      <c r="C15" s="5" t="inlineStr">
        <is>
          <t>%</t>
        </is>
      </c>
      <c r="D15" s="14" t="inlineStr">
        <is>
          <t>Assumption (estimate). Nothing measured yet: replace with beta data.</t>
        </is>
      </c>
      <c r="E15" s="2" t="n"/>
      <c r="F15" s="2" t="n"/>
    </row>
    <row r="16">
      <c r="A16" s="5" t="inlineStr">
        <is>
          <t>Monthly cancellation rate of paying users</t>
        </is>
      </c>
      <c r="B16" s="16" t="n">
        <v>0.08</v>
      </c>
      <c r="C16" s="5" t="inlineStr">
        <is>
          <t>%/month</t>
        </is>
      </c>
      <c r="D16" s="14" t="inlineStr">
        <is>
          <t>Assumption (estimate). Student products churn in summer; 8 %/month ≈ half gone after 8 months.</t>
        </is>
      </c>
      <c r="E16" s="2" t="n"/>
      <c r="F16" s="2" t="n"/>
    </row>
    <row r="17">
      <c r="A17" s="5" t="inlineStr">
        <is>
          <t>Months counted for subscription value (LTV)</t>
        </is>
      </c>
      <c r="B17" s="15" t="n">
        <v>12</v>
      </c>
      <c r="C17" s="5" t="inlineStr">
        <is>
          <t>months</t>
        </is>
      </c>
      <c r="D17" s="14" t="inlineStr">
        <is>
          <t>One school year plus summer. Conservative; anything after month 12 is upside.</t>
        </is>
      </c>
      <c r="E17" s="2" t="n"/>
      <c r="F17" s="2" t="n"/>
    </row>
    <row r="18">
      <c r="A18" s="5" t="inlineStr">
        <is>
          <t>Proxy hosting per month (server + database)</t>
        </is>
      </c>
      <c r="B18" s="13" t="n">
        <v>25</v>
      </c>
      <c r="C18" s="5" t="inlineStr">
        <is>
          <t>$/month</t>
        </is>
      </c>
      <c r="D18" s="14" t="inlineStr">
        <is>
          <t>Small Render/Fly instance + disk (estimate). server/proxy/README.md: not deployed yet.</t>
        </is>
      </c>
      <c r="E18" s="2" t="n"/>
      <c r="F18" s="2" t="n"/>
    </row>
    <row r="19">
      <c r="A19" s="9" t="inlineStr">
        <is>
          <t>Claude API usage (per solve)</t>
        </is>
      </c>
      <c r="B19" s="2" t="n"/>
      <c r="C19" s="2" t="n"/>
      <c r="D19" s="2" t="n"/>
      <c r="E19" s="2" t="n"/>
      <c r="F19" s="2" t="n"/>
    </row>
    <row r="20">
      <c r="A20" s="5" t="inlineStr">
        <is>
          <t>Model used for solves</t>
        </is>
      </c>
      <c r="B20" s="17" t="inlineStr">
        <is>
          <t>Opus 5.5</t>
        </is>
      </c>
      <c r="C20" s="5" t="inlineStr"/>
      <c r="D20" s="14" t="inlineStr">
        <is>
          <t>Pick from the table below (Opus 5.5 / Sonnet 5.5 / Haiku 4.5). NOTE: the proxy's default MAIN_MODEL today is claude-sonnet-5-5 (config.py).</t>
        </is>
      </c>
      <c r="E20" s="2" t="n"/>
      <c r="F20" s="2" t="n"/>
    </row>
    <row r="21">
      <c r="A21" s="5" t="inlineStr">
        <is>
          <t>Solves per active user per day (typical)</t>
        </is>
      </c>
      <c r="B21" s="18" t="n">
        <v>5</v>
      </c>
      <c r="C21" s="5" t="inlineStr">
        <is>
          <t>solves/day</t>
        </is>
      </c>
      <c r="D21" s="14" t="inlineStr">
        <is>
          <t>Roadmap §3.3 'typical' = 150 solves/month ≈ 5/day (estimate).</t>
        </is>
      </c>
      <c r="E21" s="2" t="n"/>
      <c r="F21" s="2" t="n"/>
    </row>
    <row r="22">
      <c r="A22" s="5" t="inlineStr">
        <is>
          <t>Days per month</t>
        </is>
      </c>
      <c r="B22" s="18" t="n">
        <v>30.4</v>
      </c>
      <c r="C22" s="5" t="inlineStr">
        <is>
          <t>days</t>
        </is>
      </c>
      <c r="D22" s="14" t="inlineStr">
        <is>
          <t>365 / 12.</t>
        </is>
      </c>
      <c r="E22" s="2" t="n"/>
      <c r="F22" s="2" t="n"/>
    </row>
    <row r="23">
      <c r="A23" s="5" t="inlineStr">
        <is>
          <t>Input tokens per solve (photo + prompt)</t>
        </is>
      </c>
      <c r="B23" s="15" t="n">
        <v>2500</v>
      </c>
      <c r="C23" s="5" t="inlineStr">
        <is>
          <t>tokens</t>
        </is>
      </c>
      <c r="D23" s="14" t="inlineStr">
        <is>
          <t>Roadmap §3.3: photo ≈ (w×h)/750 ≈ 1,600 for 1280×960, plus system prompt ≈ 2,500 total (estimate).</t>
        </is>
      </c>
      <c r="E23" s="2" t="n"/>
      <c r="F23" s="2" t="n"/>
    </row>
    <row r="24">
      <c r="A24" s="5" t="inlineStr">
        <is>
          <t>…of which a fixed system prompt that can be cached</t>
        </is>
      </c>
      <c r="B24" s="15" t="n">
        <v>900</v>
      </c>
      <c r="C24" s="5" t="inlineStr">
        <is>
          <t>tokens</t>
        </is>
      </c>
      <c r="D24" s="14" t="inlineStr">
        <is>
          <t>Estimate. If the fixed prompt is shorter than the model's minimum cacheable prefix (512-4,096 tokens) it will not cache: set 0.</t>
        </is>
      </c>
      <c r="E24" s="2" t="n"/>
      <c r="F24" s="2" t="n"/>
    </row>
    <row r="25">
      <c r="A25" s="5" t="inlineStr">
        <is>
          <t>Cache hit rate on that prefix</t>
        </is>
      </c>
      <c r="B25" s="16" t="n">
        <v>0.8</v>
      </c>
      <c r="C25" s="5" t="inlineStr">
        <is>
          <t>%</t>
        </is>
      </c>
      <c r="D25" s="14" t="inlineStr">
        <is>
          <t>Estimate (cache lives ~5 min; busy hours hit, quiet hours miss).</t>
        </is>
      </c>
      <c r="E25" s="2" t="n"/>
      <c r="F25" s="2" t="n"/>
    </row>
    <row r="26">
      <c r="A26" s="5" t="inlineStr">
        <is>
          <t>Cache write price as a multiple of input price</t>
        </is>
      </c>
      <c r="B26" s="18" t="n">
        <v>1.25</v>
      </c>
      <c r="C26" s="5" t="inlineStr">
        <is>
          <t>×</t>
        </is>
      </c>
      <c r="D26" s="14" t="inlineStr">
        <is>
          <t>Anthropic 5-minute cache write = 1.25× base input.</t>
        </is>
      </c>
      <c r="E26" s="2" t="n"/>
      <c r="F26" s="2" t="n"/>
    </row>
    <row r="27">
      <c r="A27" s="5" t="inlineStr">
        <is>
          <t>Batch discount applied</t>
        </is>
      </c>
      <c r="B27" s="16" t="n">
        <v>0</v>
      </c>
      <c r="C27" s="5" t="inlineStr">
        <is>
          <t>%</t>
        </is>
      </c>
      <c r="D27" s="14" t="inlineStr">
        <is>
          <t>Batch API is 50 % off but answers take minutes to hours: unusable for live solves. Keep 0 %.</t>
        </is>
      </c>
      <c r="E27" s="2" t="n"/>
      <c r="F27" s="2" t="n"/>
    </row>
    <row r="28">
      <c r="A28" s="9" t="inlineStr">
        <is>
          <t>Selling legally (one-time, before public sales)</t>
        </is>
      </c>
      <c r="B28" s="2" t="n"/>
      <c r="C28" s="2" t="n"/>
      <c r="D28" s="2" t="n"/>
      <c r="E28" s="2" t="n"/>
      <c r="F28" s="2" t="n"/>
    </row>
    <row r="29">
      <c r="A29" s="5" t="inlineStr">
        <is>
          <t>FCC Part 15B SDoC test (1 lab day)</t>
        </is>
      </c>
      <c r="B29" s="34" t="n">
        <v>1750</v>
      </c>
      <c r="C29" s="5" t="inlineStr">
        <is>
          <t>$</t>
        </is>
      </c>
      <c r="D29" s="14" t="inlineStr">
        <is>
          <t>Roadmap §4: $1,000-2,500 [S10]; midpoint.</t>
        </is>
      </c>
      <c r="E29" s="2" t="n"/>
      <c r="F29" s="2" t="n"/>
    </row>
    <row r="30">
      <c r="A30" s="5" t="inlineStr">
        <is>
          <t>Lawyer: trade dress + terms of service</t>
        </is>
      </c>
      <c r="B30" s="34" t="n">
        <v>300</v>
      </c>
      <c r="C30" s="5" t="inlineStr">
        <is>
          <t>$</t>
        </is>
      </c>
      <c r="D30" s="14" t="inlineStr">
        <is>
          <t>Roadmap §4: clinic $0-300; KNOCKOFF_SHELL_PLAN.md §5: private consult $200-500.</t>
        </is>
      </c>
      <c r="E30" s="2" t="n"/>
      <c r="F30" s="2" t="n"/>
    </row>
    <row r="31">
      <c r="A31" s="5" t="inlineStr">
        <is>
          <t>Indiana LLC</t>
        </is>
      </c>
      <c r="B31" s="34" t="n">
        <v>97</v>
      </c>
      <c r="C31" s="5" t="inlineStr">
        <is>
          <t>$</t>
        </is>
      </c>
      <c r="D31" s="14" t="inlineStr">
        <is>
          <t>Roadmap §4 [S25].</t>
        </is>
      </c>
      <c r="E31" s="2" t="n"/>
      <c r="F31" s="2" t="n"/>
    </row>
    <row r="32">
      <c r="A32" s="5" t="inlineStr">
        <is>
          <t>USPTO trademark, classes 9 + 42</t>
        </is>
      </c>
      <c r="B32" s="34" t="n">
        <v>700</v>
      </c>
      <c r="C32" s="5" t="inlineStr">
        <is>
          <t>$</t>
        </is>
      </c>
      <c r="D32" s="14" t="inlineStr">
        <is>
          <t>Roadmap §4: $350 per class [S24].</t>
        </is>
      </c>
      <c r="E32" s="2" t="n"/>
      <c r="F32" s="2" t="n"/>
    </row>
    <row r="33">
      <c r="A33" s="5" t="inlineStr">
        <is>
          <t>Product liability insurance, first year</t>
        </is>
      </c>
      <c r="B33" s="34" t="n">
        <v>700</v>
      </c>
      <c r="C33" s="5" t="inlineStr">
        <is>
          <t>$</t>
        </is>
      </c>
      <c r="D33" s="14" t="inlineStr">
        <is>
          <t>Roadmap §4: ~$400-1,000/yr (estimate).</t>
        </is>
      </c>
      <c r="E33" s="2" t="n"/>
      <c r="F33" s="2" t="n"/>
    </row>
    <row r="34">
      <c r="A34" s="9" t="inlineStr">
        <is>
          <t>JLCPCB assembly fee check (already inside the PCBA price row)</t>
        </is>
      </c>
      <c r="B34" s="2" t="n"/>
      <c r="C34" s="2" t="n"/>
      <c r="D34" s="2" t="n"/>
      <c r="E34" s="2" t="n"/>
      <c r="F34" s="2" t="n"/>
    </row>
    <row r="35">
      <c r="A35" s="5" t="inlineStr">
        <is>
          <t>Standard PCBA setup fee per order</t>
        </is>
      </c>
      <c r="B35" s="13" t="n">
        <v>25</v>
      </c>
      <c r="C35" s="5" t="inlineStr">
        <is>
          <t>$</t>
        </is>
      </c>
      <c r="D35" s="14" t="inlineStr">
        <is>
          <t>Given 2026-10-06 (JLCPCB Standard PCBA).</t>
        </is>
      </c>
      <c r="E35" s="2" t="n"/>
      <c r="F35" s="2" t="n"/>
    </row>
    <row r="36">
      <c r="A36" s="5" t="inlineStr">
        <is>
          <t>Extended-part loading fee per part type</t>
        </is>
      </c>
      <c r="B36" s="13" t="n">
        <v>3</v>
      </c>
      <c r="C36" s="5" t="inlineStr">
        <is>
          <t>$</t>
        </is>
      </c>
      <c r="D36" s="14" t="inlineStr">
        <is>
          <t>Roadmap §3.1: $3 × 14 extended types per order (JLCPCB rule).</t>
        </is>
      </c>
      <c r="E36" s="2" t="n"/>
      <c r="F36" s="2" t="n"/>
    </row>
    <row r="37">
      <c r="A37" s="5" t="inlineStr">
        <is>
          <t>Extended part types on the board</t>
        </is>
      </c>
      <c r="B37" s="15" t="n">
        <v>14</v>
      </c>
      <c r="C37" s="5" t="inlineStr">
        <is>
          <t>types</t>
        </is>
      </c>
      <c r="D37" s="14" t="inlineStr">
        <is>
          <t>Roadmap §3.1.</t>
        </is>
      </c>
      <c r="E37" s="2" t="n"/>
      <c r="F37" s="2" t="n"/>
    </row>
    <row r="38">
      <c r="A38" s="5" t="inlineStr">
        <is>
          <t>Solder joints per board</t>
        </is>
      </c>
      <c r="B38" s="15" t="n">
        <v>310</v>
      </c>
      <c r="C38" s="5" t="inlineStr">
        <is>
          <t>joints</t>
        </is>
      </c>
      <c r="D38" s="14" t="inlineStr">
        <is>
          <t>Estimate from the 77-designator BOM: ESP32 module 65, TCA8418 25, 2 FPCs 52, SOT-23s ~45, connectors ~12, ~55 passives × 2.</t>
        </is>
      </c>
      <c r="E38" s="2" t="n"/>
      <c r="F38" s="2" t="n"/>
    </row>
    <row r="39">
      <c r="A39" s="5" t="inlineStr">
        <is>
          <t>Price per solder joint at 100 boards</t>
        </is>
      </c>
      <c r="B39" s="35" t="n">
        <v>0.0013</v>
      </c>
      <c r="C39" s="5" t="inlineStr">
        <is>
          <t>$</t>
        </is>
      </c>
      <c r="D39" s="14" t="inlineStr">
        <is>
          <t>Given 2026-10-06 (JLCPCB).</t>
        </is>
      </c>
      <c r="E39" s="2" t="n"/>
      <c r="F39" s="2" t="n"/>
    </row>
    <row r="40">
      <c r="A40" s="9" t="inlineStr">
        <is>
          <t>Your own time (shown, not added to cost at 2-100)</t>
        </is>
      </c>
      <c r="B40" s="2" t="n"/>
      <c r="C40" s="2" t="n"/>
      <c r="D40" s="2" t="n"/>
      <c r="E40" s="2" t="n"/>
      <c r="F40" s="2" t="n"/>
    </row>
    <row r="41">
      <c r="A41" s="5" t="inlineStr">
        <is>
          <t>Your minutes per unit: grind + assemble + QA</t>
        </is>
      </c>
      <c r="B41" s="15" t="n">
        <v>37</v>
      </c>
      <c r="C41" s="5" t="inlineStr">
        <is>
          <t>min</t>
        </is>
      </c>
      <c r="D41" s="14" t="inlineStr">
        <is>
          <t>Grinds with jigs 9-11 min (jigs/README.md), assembly ~15 min (estimate), QA Part A 5 + Part B 6-8 min (QA_TEST_PLAN.md).</t>
        </is>
      </c>
      <c r="E41" s="2" t="n"/>
      <c r="F41" s="2" t="n"/>
    </row>
    <row r="42">
      <c r="A42" s="5" t="inlineStr">
        <is>
          <t>Value of your hour</t>
        </is>
      </c>
      <c r="B42" s="13" t="n">
        <v>15</v>
      </c>
      <c r="C42" s="5" t="inlineStr">
        <is>
          <t>$/h</t>
        </is>
      </c>
      <c r="D42" s="14" t="inlineStr">
        <is>
          <t>Assumption: a student job wage (estimate).</t>
        </is>
      </c>
      <c r="E42" s="2" t="n"/>
      <c r="F42" s="2" t="n"/>
    </row>
    <row r="43">
      <c r="A43" s="9" t="inlineStr">
        <is>
          <t>v15-LCD board change (per board; hardware/stage15_lcd.md §3, verification/13 and 14)</t>
        </is>
      </c>
      <c r="B43" s="2" t="n"/>
      <c r="C43" s="2" t="n"/>
      <c r="D43" s="2" t="n"/>
      <c r="E43" s="2" t="n"/>
      <c r="F43" s="2" t="n"/>
    </row>
    <row r="44">
      <c r="A44" s="5" t="inlineStr">
        <is>
          <t>Parts removed: 17 e-paper parts (J2, L1, Q3, R11, R12, D3-D5, C20-C30)</t>
        </is>
      </c>
      <c r="B44" s="13" t="n">
        <v>0.75</v>
      </c>
      <c r="C44" s="5" t="inlineStr">
        <is>
          <t>$/board</t>
        </is>
      </c>
      <c r="D44" s="14" t="inlineStr">
        <is>
          <t>Estimate from LCSC 1-off prices: J2 FPC socket ~$0.30, L1 68 µH ~$0.12, Q3 ~$0.15, 3 × B5819W ~$0.06, C20 + 10 × 1 µF/50 V ~$0.11, 2 resistors. Stage 15: board BOM ≈ $1 cheaper.</t>
        </is>
      </c>
      <c r="E44" s="2" t="n"/>
      <c r="F44" s="2" t="n"/>
    </row>
    <row r="45">
      <c r="A45" s="5" t="inlineStr">
        <is>
          <t>Parts added: J5 C2919501 $0.36, Q4 AO3401A $0.10, Q5 AO3400A C20917 $0.09, R21/R22/C36, R23 15 Ω C22810</t>
        </is>
      </c>
      <c r="B45" s="13" t="n">
        <v>0.5573</v>
      </c>
      <c r="C45" s="5" t="inlineStr">
        <is>
          <t>$/board</t>
        </is>
      </c>
      <c r="D45" s="14" t="inlineStr">
        <is>
          <t>JLCPCB prices 2026-10-08 (stage15_lcd.md §3 table): 0.36 + 0.10 + 0.09 + 3 × 0.002 + R23 C22810 0.0013 (review 14: 22 Ω → 15 Ω).</t>
        </is>
      </c>
      <c r="E45" s="2" t="n"/>
      <c r="F45" s="2" t="n"/>
    </row>
    <row r="46">
      <c r="A46" s="5" t="inlineStr">
        <is>
          <t>Change in JLCPCB extended part types (v15 vs v14)</t>
        </is>
      </c>
      <c r="B46" s="15" t="n">
        <v>-1</v>
      </c>
      <c r="C46" s="5" t="inlineStr">
        <is>
          <t>types</t>
        </is>
      </c>
      <c r="D46" s="14" t="inlineStr">
        <is>
          <t>Review 14 stock list: v14 had 14 extended types, v15 has 13. L1 (C135265), Q3 (C469327) and R12 (C23157) leave; J5 (C2919501) and R23 15 Ω (C22810, ~$3 fee) join; J1 keeps C6364666.</t>
        </is>
      </c>
      <c r="E46" s="2" t="n"/>
      <c r="F46" s="2" t="n"/>
    </row>
    <row r="47">
      <c r="A47" s="5" t="inlineStr">
        <is>
          <t>v15-LCD JLCPCB order: 5 PCBs, 5 assembled, delivered (DHL + ~35 % duty)</t>
        </is>
      </c>
      <c r="B47" s="34" t="n">
        <v>270</v>
      </c>
      <c r="C47" s="5" t="inlineStr">
        <is>
          <t>$</t>
        </is>
      </c>
      <c r="D47" s="14" t="inlineStr">
        <is>
          <t>Estimate (hardware/ORDER_WALKTHROUGH_v15_lcd.md §8): the real v14 total $275 minus one extended-part fee and the ~$0.19/board cheaper BOM, with duty; range ≈ $255-285. Replace with the real quote.</t>
        </is>
      </c>
      <c r="E47" s="2" t="n"/>
      <c r="F47" s="2" t="n"/>
    </row>
    <row r="48">
      <c r="A48" s="5" t="inlineStr">
        <is>
          <t>Assembled v15 boards from that order that go into the pilot</t>
        </is>
      </c>
      <c r="B48" s="15" t="n">
        <v>5</v>
      </c>
      <c r="C48" s="5" t="inlineStr">
        <is>
          <t>boards</t>
        </is>
      </c>
      <c r="D48" s="14" t="inlineStr">
        <is>
          <t>Plan: the 5 bench-tested v15 boards become pilot units 1-5, so the pilot pays for fewer new boards. Set 0 to keep them as spares.</t>
        </is>
      </c>
      <c r="E48" s="2" t="n"/>
      <c r="F48" s="2" t="n"/>
    </row>
    <row r="49">
      <c r="A49" s="9" t="inlineStr">
        <is>
          <t>Budget</t>
        </is>
      </c>
      <c r="B49" s="2" t="n"/>
      <c r="C49" s="2" t="n"/>
      <c r="D49" s="2" t="n"/>
      <c r="E49" s="2" t="n"/>
      <c r="F49" s="2" t="n"/>
    </row>
    <row r="50">
      <c r="A50" s="5" t="inlineStr">
        <is>
          <t>Cash available for supply</t>
        </is>
      </c>
      <c r="B50" s="34" t="n">
        <v>2000</v>
      </c>
      <c r="C50" s="5" t="inlineStr">
        <is>
          <t>$</t>
        </is>
      </c>
      <c r="D50" s="14" t="inlineStr">
        <is>
          <t>Business plan: $2,000 budget.</t>
        </is>
      </c>
      <c r="E50" s="2" t="n"/>
      <c r="F50" s="2" t="n"/>
    </row>
    <row r="51">
      <c r="A51" s="5" t="inlineStr">
        <is>
          <t>v14 e-paper testers being built</t>
        </is>
      </c>
      <c r="B51" s="15" t="n">
        <v>5</v>
      </c>
      <c r="C51" s="5" t="inlineStr">
        <is>
          <t>units</t>
        </is>
      </c>
      <c r="D51" s="14" t="inlineStr">
        <is>
          <t>Plan 2026-10-08: 5 testers in Casio shells.</t>
        </is>
      </c>
      <c r="E51" s="2" t="n"/>
      <c r="F51" s="2" t="n"/>
    </row>
    <row r="52">
      <c r="A52" s="5" t="inlineStr">
        <is>
          <t>v15-LCD pilot size (knockoff shells)</t>
        </is>
      </c>
      <c r="B52" s="15" t="n">
        <v>10</v>
      </c>
      <c r="C52" s="5" t="inlineStr">
        <is>
          <t>units</t>
        </is>
      </c>
      <c r="D52" s="14" t="inlineStr">
        <is>
          <t>Plan: after the v15 order. Lower it (e.g. 5) if the cash budget goes negative.</t>
        </is>
      </c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9" t="inlineStr">
        <is>
          <t>Claude model prices (per million tokens)</t>
        </is>
      </c>
      <c r="B54" s="2" t="n"/>
      <c r="C54" s="2" t="n"/>
      <c r="D54" s="2" t="n"/>
      <c r="E54" s="2" t="n"/>
      <c r="F54" s="2" t="n"/>
    </row>
    <row r="55">
      <c r="A55" s="21" t="inlineStr">
        <is>
          <t>Model</t>
        </is>
      </c>
      <c r="B55" s="21" t="inlineStr">
        <is>
          <t>Input $/M</t>
        </is>
      </c>
      <c r="C55" s="21" t="inlineStr">
        <is>
          <t>Output $/M</t>
        </is>
      </c>
      <c r="D55" s="21" t="inlineStr">
        <is>
          <t>Cache read $/M</t>
        </is>
      </c>
      <c r="E55" s="21" t="inlineStr">
        <is>
          <t>Output tokens per solve</t>
        </is>
      </c>
      <c r="F55" s="21" t="inlineStr">
        <is>
          <t>Source</t>
        </is>
      </c>
    </row>
    <row r="56">
      <c r="A56" s="17" t="inlineStr">
        <is>
          <t>Opus 5.5</t>
        </is>
      </c>
      <c r="B56" s="13" t="n">
        <v>4</v>
      </c>
      <c r="C56" s="13" t="n">
        <v>20</v>
      </c>
      <c r="D56" s="13" t="n">
        <v>0.2</v>
      </c>
      <c r="E56" s="15" t="n">
        <v>2100</v>
      </c>
      <c r="F56" s="14" t="inlineStr">
        <is>
          <t>Given 2026-10-06 and Anthropic price table (cached 2026-09-25). Output incl. thinking (roadmap §3.3).</t>
        </is>
      </c>
    </row>
    <row r="57">
      <c r="A57" s="17" t="inlineStr">
        <is>
          <t>Sonnet 5.5</t>
        </is>
      </c>
      <c r="B57" s="13" t="n">
        <v>2</v>
      </c>
      <c r="C57" s="13" t="n">
        <v>10</v>
      </c>
      <c r="D57" s="13" t="n">
        <v>0.2</v>
      </c>
      <c r="E57" s="15" t="n">
        <v>2100</v>
      </c>
      <c r="F57" s="14" t="inlineStr">
        <is>
          <t>Anthropic price table (cached 2026-09-25). Proxy default MAIN_MODEL.</t>
        </is>
      </c>
    </row>
    <row r="58">
      <c r="A58" s="17" t="inlineStr">
        <is>
          <t>Haiku 4.5</t>
        </is>
      </c>
      <c r="B58" s="13" t="n">
        <v>1</v>
      </c>
      <c r="C58" s="13" t="n">
        <v>5</v>
      </c>
      <c r="D58" s="13" t="n">
        <v>0.1</v>
      </c>
      <c r="E58" s="15" t="n">
        <v>800</v>
      </c>
      <c r="F58" s="14" t="inlineStr">
        <is>
          <t>Anthropic price table; cache read = 0.1× input (estimate). Roadmap §3.3: ~800 output tokens.</t>
        </is>
      </c>
    </row>
    <row r="59">
      <c r="A59" s="2" t="n"/>
      <c r="B59" s="2" t="n"/>
      <c r="C59" s="2" t="n"/>
      <c r="D59" s="2" t="n"/>
      <c r="E59" s="2" t="n"/>
      <c r="F59" s="2" t="n"/>
    </row>
    <row r="60">
      <c r="A60" s="9" t="inlineStr">
        <is>
          <t>Derived certification total (formula)</t>
        </is>
      </c>
      <c r="B60" s="29">
        <f>'Inputs'!$B$29+'Inputs'!$B$30+'Inputs'!$B$31+'Inputs'!$B$32+'Inputs'!$B$33</f>
        <v/>
      </c>
      <c r="C60" s="2" t="n"/>
      <c r="D60" s="5" t="inlineStr">
        <is>
          <t>FCC + lawyer + LLC + trademark + insurance. Roadmap §3 calls this 'about $3.5k one-time'.</t>
        </is>
      </c>
      <c r="E60" s="2" t="n"/>
      <c r="F60" s="2" t="n"/>
    </row>
  </sheetData>
  <dataValidations count="1">
    <dataValidation sqref="B20" showDropDown="0" showInputMessage="0" showErrorMessage="0" allowBlank="0" type="list">
      <formula1>=$A$56:$A$58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95" customWidth="1" min="7" max="7"/>
  </cols>
  <sheetData>
    <row r="1">
      <c r="A1" s="1" t="inlineStr">
        <is>
          <t>Cost per finished calculator at 5 / 10 / 100 / 1,000 units (e-paper version; LCD and big battery on 'Versions')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5 = the v14 e-paper TESTERS in genuine Casio fx-115ES shells (option C of Claude outputs/AI_Calculator_Shopping_List.xlsx). 10 / 100 / 1,000 = knockoff 991ES-style shell (v15 board). Per-unit prices from Claude outputs/Alibaba_Bulk_Sourcing.xlsx 'Cost by batch' and LAUNCH_ROADMAP.md §3 unless noted.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#</t>
        </is>
      </c>
      <c r="B4" s="4" t="inlineStr">
        <is>
          <t>Item</t>
        </is>
      </c>
      <c r="C4" s="4" t="inlineStr">
        <is>
          <t>5 testers</t>
        </is>
      </c>
      <c r="D4" s="4" t="inlineStr">
        <is>
          <t>10 units</t>
        </is>
      </c>
      <c r="E4" s="4" t="inlineStr">
        <is>
          <t>100 units</t>
        </is>
      </c>
      <c r="F4" s="4" t="inlineStr">
        <is>
          <t>1,000 units</t>
        </is>
      </c>
      <c r="G4" s="4" t="inlineStr">
        <is>
          <t>Source / notes</t>
        </is>
      </c>
    </row>
    <row r="5">
      <c r="A5" s="2" t="n"/>
      <c r="B5" s="9" t="inlineStr">
        <is>
          <t>Batch size (units)</t>
        </is>
      </c>
      <c r="C5" s="15" t="n">
        <v>5</v>
      </c>
      <c r="D5" s="15" t="n">
        <v>10</v>
      </c>
      <c r="E5" s="15" t="n">
        <v>100</v>
      </c>
      <c r="F5" s="15" t="n">
        <v>1000</v>
      </c>
      <c r="G5" s="5" t="inlineStr">
        <is>
          <t>Edit to test other batch sizes; the per-unit prices below don't re-scale by themselves.</t>
        </is>
      </c>
    </row>
    <row r="6">
      <c r="A6" s="2" t="n"/>
      <c r="B6" s="5" t="inlineStr">
        <is>
          <t>Shell used</t>
        </is>
      </c>
      <c r="C6" s="17" t="inlineStr">
        <is>
          <t>Casio donor</t>
        </is>
      </c>
      <c r="D6" s="17" t="inlineStr">
        <is>
          <t>Clone (retail)</t>
        </is>
      </c>
      <c r="E6" s="17" t="inlineStr">
        <is>
          <t>Clone (Alibaba)</t>
        </is>
      </c>
      <c r="F6" s="17" t="inlineStr">
        <is>
          <t>Clone (factory)</t>
        </is>
      </c>
      <c r="G6" s="2" t="n"/>
    </row>
    <row r="7">
      <c r="A7" s="9" t="inlineStr">
        <is>
          <t>Per-unit parts (price per unit at that volume)</t>
        </is>
      </c>
      <c r="B7" s="2" t="n"/>
      <c r="C7" s="2" t="n"/>
      <c r="D7" s="2" t="n"/>
      <c r="E7" s="2" t="n"/>
      <c r="F7" s="2" t="n"/>
      <c r="G7" s="2" t="n"/>
    </row>
    <row r="8">
      <c r="A8" s="5" t="n">
        <v>1</v>
      </c>
      <c r="B8" s="5" t="inlineStr">
        <is>
          <t>PCB + PCBA (board, all SMD parts, JLCPCB assembly)</t>
        </is>
      </c>
      <c r="C8" s="13" t="n">
        <v>55</v>
      </c>
      <c r="D8" s="13" t="n">
        <v>18</v>
      </c>
      <c r="E8" s="13" t="n">
        <v>9</v>
      </c>
      <c r="F8" s="13" t="n">
        <v>7.3</v>
      </c>
      <c r="G8" s="14" t="inlineStr">
        <is>
          <t>5: JLCPCB v14 DELIVERED (incl. DHL + ~35 % duty) ≈ $220 for 2 assembled + $55 for 5 assembled = $275 ÷ 5 (Shopping List rows 1-2). 10/100/1,000: roadmap §3 table [S8].</t>
        </is>
      </c>
    </row>
    <row r="9">
      <c r="A9" s="5" t="n">
        <v>2</v>
      </c>
      <c r="B9" s="5" t="inlineStr">
        <is>
          <t>Shell + key mat + window + screws</t>
        </is>
      </c>
      <c r="C9" s="13" t="n">
        <v>20</v>
      </c>
      <c r="D9" s="13" t="n">
        <v>6</v>
      </c>
      <c r="E9" s="13" t="n">
        <v>3.99</v>
      </c>
      <c r="F9" s="13" t="n">
        <v>3.25</v>
      </c>
      <c r="G9" s="14" t="inlineStr">
        <is>
          <t>5: Casio fx-115ES $20 each (3 bought, 2 already owned; value shown for all 5). 10: retail clone incl. shipping. 100: Alibaba $3.25-3.99 MOQ 20 [S1]. 1,000: $3.25 (factories quote $1.50-3.50 at 3,000 [S2]).</t>
        </is>
      </c>
    </row>
    <row r="10">
      <c r="A10" s="5" t="n">
        <v>3</v>
      </c>
      <c r="B10" s="5" t="inlineStr">
        <is>
          <t>Camera OV5640 AF</t>
        </is>
      </c>
      <c r="C10" s="13" t="n">
        <v>10.594</v>
      </c>
      <c r="D10" s="13" t="n">
        <v>12</v>
      </c>
      <c r="E10" s="13" t="n">
        <v>6</v>
      </c>
      <c r="F10" s="13" t="n">
        <v>4.5</v>
      </c>
      <c r="G10" s="14" t="inlineStr">
        <is>
          <t>5: option C = (3 × Seeed 114993115 $12.99 + 2 × generic $7) ÷ 5. Then roadmap / Alibaba OEM [S3].</t>
        </is>
      </c>
    </row>
    <row r="11">
      <c r="A11" s="5" t="n">
        <v>4</v>
      </c>
      <c r="B11" s="5" t="inlineStr">
        <is>
          <t>E-paper 2.13" raw panel</t>
        </is>
      </c>
      <c r="C11" s="13" t="n">
        <v>5.994</v>
      </c>
      <c r="D11" s="13" t="n">
        <v>6.6</v>
      </c>
      <c r="E11" s="13" t="n">
        <v>5.5</v>
      </c>
      <c r="F11" s="13" t="n">
        <v>4</v>
      </c>
      <c r="G11" s="14" t="inlineStr">
        <is>
          <t>5: option C = (3 × Waveshare $6.99 + 2 × GDEY0213B74 $4.50) ÷ 5. Then Good Display direct by RFQ (estimate).</t>
        </is>
      </c>
    </row>
    <row r="12">
      <c r="A12" s="5" t="n">
        <v>5</v>
      </c>
      <c r="B12" s="5" t="inlineStr">
        <is>
          <t>LiPo 150 mAh + JST-PH</t>
        </is>
      </c>
      <c r="C12" s="13" t="n">
        <v>4.77</v>
      </c>
      <c r="D12" s="13" t="n">
        <v>5.95</v>
      </c>
      <c r="E12" s="13" t="n">
        <v>1.8</v>
      </c>
      <c r="F12" s="13" t="n">
        <v>1.3</v>
      </c>
      <c r="G12" s="14" t="inlineStr">
        <is>
          <t>5: option C = (3 × Adafruit #1317 $5.95 + 2 × generic 302030 $3) ÷ 5. 10: Adafruit #1317. 100/1,000: Alibaba cell with PH lead + PCM (estimate).</t>
        </is>
      </c>
    </row>
    <row r="13">
      <c r="A13" s="5" t="n">
        <v>6</v>
      </c>
      <c r="B13" s="5" t="inlineStr">
        <is>
          <t>Battery dangerous-goods freight surcharge</t>
        </is>
      </c>
      <c r="C13" s="13" t="n">
        <v>0</v>
      </c>
      <c r="D13" s="13" t="n">
        <v>0</v>
      </c>
      <c r="E13" s="13" t="n">
        <v>0.8</v>
      </c>
      <c r="F13" s="13" t="n">
        <v>0.3</v>
      </c>
      <c r="G13" s="14" t="inlineStr">
        <is>
          <t>UN3481 air surcharge (estimate).</t>
        </is>
      </c>
    </row>
    <row r="14">
      <c r="A14" s="5" t="n">
        <v>7</v>
      </c>
      <c r="B14" s="5" t="inlineStr">
        <is>
          <t>Magnetic connector pair</t>
        </is>
      </c>
      <c r="C14" s="13" t="n">
        <v>6.5</v>
      </c>
      <c r="D14" s="13" t="n">
        <v>5.85</v>
      </c>
      <c r="E14" s="13" t="n">
        <v>1.8</v>
      </c>
      <c r="F14" s="13" t="n">
        <v>1.2</v>
      </c>
      <c r="G14" s="14" t="inlineStr">
        <is>
          <t>Adafruit #5358 $6.50 / $5.85 (10+); Alibaba MG04-254-RA $1.80 [S7].</t>
        </is>
      </c>
    </row>
    <row r="15">
      <c r="A15" s="5" t="n">
        <v>8</v>
      </c>
      <c r="B15" s="5" t="inlineStr">
        <is>
          <t>Magnetic USB cable (in the box)</t>
        </is>
      </c>
      <c r="C15" s="13" t="n">
        <v>4.95</v>
      </c>
      <c r="D15" s="13" t="n">
        <v>4.95</v>
      </c>
      <c r="E15" s="13" t="n">
        <v>1.8</v>
      </c>
      <c r="F15" s="13" t="n">
        <v>1.4</v>
      </c>
      <c r="G15" s="14" t="inlineStr">
        <is>
          <t>Adafruit #5412 $4.95; OEM $1.40-1.80 (estimate).</t>
        </is>
      </c>
    </row>
    <row r="16">
      <c r="A16" s="5" t="n">
        <v>9</v>
      </c>
      <c r="B16" s="5" t="inlineStr">
        <is>
          <t>Retail box + insert</t>
        </is>
      </c>
      <c r="C16" s="13" t="n">
        <v>0</v>
      </c>
      <c r="D16" s="13" t="n">
        <v>1.5</v>
      </c>
      <c r="E16" s="13" t="n">
        <v>1</v>
      </c>
      <c r="F16" s="13" t="n">
        <v>0.6</v>
      </c>
      <c r="G16" s="14" t="inlineStr">
        <is>
          <t>Prototypes unboxed. Alibaba rigid box $0.20-1.02 @100 [S9].</t>
        </is>
      </c>
    </row>
    <row r="17">
      <c r="A17" s="5" t="n">
        <v>10</v>
      </c>
      <c r="B17" s="5" t="inlineStr">
        <is>
          <t>Quick-start card (with 'not affiliated with Casio')</t>
        </is>
      </c>
      <c r="C17" s="13" t="n">
        <v>0</v>
      </c>
      <c r="D17" s="13" t="n">
        <v>0.1</v>
      </c>
      <c r="E17" s="13" t="n">
        <v>0.25</v>
      </c>
      <c r="F17" s="13" t="n">
        <v>0.05</v>
      </c>
      <c r="G17" s="14" t="inlineStr">
        <is>
          <t>[S10]; small runs estimate.</t>
        </is>
      </c>
    </row>
    <row r="18">
      <c r="A18" s="5" t="n">
        <v>11</v>
      </c>
      <c r="B18" s="5" t="inlineStr">
        <is>
          <t>Serial / QC label + polybag</t>
        </is>
      </c>
      <c r="C18" s="13" t="n">
        <v>0</v>
      </c>
      <c r="D18" s="13" t="n">
        <v>0.15</v>
      </c>
      <c r="E18" s="13" t="n">
        <v>0.1</v>
      </c>
      <c r="F18" s="13" t="n">
        <v>0.05</v>
      </c>
      <c r="G18" s="14" t="inlineStr">
        <is>
          <t>Estimate.</t>
        </is>
      </c>
    </row>
    <row r="19">
      <c r="A19" s="5" t="n">
        <v>12</v>
      </c>
      <c r="B19" s="5" t="inlineStr">
        <is>
          <t>Tape, Kapton, glue (per-unit share)</t>
        </is>
      </c>
      <c r="C19" s="13" t="n">
        <v>0</v>
      </c>
      <c r="D19" s="13" t="n">
        <v>0.5</v>
      </c>
      <c r="E19" s="13" t="n">
        <v>0.3</v>
      </c>
      <c r="F19" s="13" t="n">
        <v>0.2</v>
      </c>
      <c r="G19" s="14" t="inlineStr">
        <is>
          <t>2: bought as bench tools (one-time row below). Estimate.</t>
        </is>
      </c>
    </row>
    <row r="20">
      <c r="A20" s="5" t="n">
        <v>13</v>
      </c>
      <c r="B20" s="5" t="inlineStr">
        <is>
          <t>Inbound freight + US import duty (per unit)</t>
        </is>
      </c>
      <c r="C20" s="13" t="n">
        <v>0</v>
      </c>
      <c r="D20" s="13" t="n">
        <v>8</v>
      </c>
      <c r="E20" s="13" t="n">
        <v>8</v>
      </c>
      <c r="F20" s="13" t="n">
        <v>5</v>
      </c>
      <c r="G20" s="14" t="inlineStr">
        <is>
          <t>5: JLCPCB freight/duty is inside row 1; other shipping is a lump (one-time row below). Roadmap: ~35 % duty, low end of 35-92.5 % [S8]. Biggest swing factor.</t>
        </is>
      </c>
    </row>
    <row r="21">
      <c r="A21" s="2" t="n"/>
      <c r="B21" s="9" t="inlineStr">
        <is>
          <t>Parts subtotal</t>
        </is>
      </c>
      <c r="C21" s="22">
        <f>SUM(C8:C20)</f>
        <v/>
      </c>
      <c r="D21" s="22">
        <f>SUM(D8:D20)</f>
        <v/>
      </c>
      <c r="E21" s="22">
        <f>SUM(E8:E20)</f>
        <v/>
      </c>
      <c r="F21" s="22">
        <f>SUM(F8:F20)</f>
        <v/>
      </c>
      <c r="G21" s="2" t="n"/>
    </row>
    <row r="22">
      <c r="A22" s="2" t="n"/>
      <c r="B22" s="5" t="inlineStr">
        <is>
          <t>Scrap + spares allowance, %</t>
        </is>
      </c>
      <c r="C22" s="16" t="n">
        <v>0</v>
      </c>
      <c r="D22" s="16" t="n">
        <v>0.1</v>
      </c>
      <c r="E22" s="16" t="n">
        <v>0.07000000000000001</v>
      </c>
      <c r="F22" s="16" t="n">
        <v>0.05</v>
      </c>
      <c r="G22" s="5" t="inlineStr">
        <is>
          <t>Alibaba sheet row 15 (estimate). At 5 the spares are a one-time row instead.</t>
        </is>
      </c>
    </row>
    <row r="23">
      <c r="A23" s="2" t="n"/>
      <c r="B23" s="5" t="inlineStr">
        <is>
          <t>Scrap + spares allowance, $</t>
        </is>
      </c>
      <c r="C23" s="6">
        <f>C21*C22</f>
        <v/>
      </c>
      <c r="D23" s="6">
        <f>D21*D22</f>
        <v/>
      </c>
      <c r="E23" s="6">
        <f>E21*E22</f>
        <v/>
      </c>
      <c r="F23" s="6">
        <f>F21*F22</f>
        <v/>
      </c>
      <c r="G23" s="2" t="n"/>
    </row>
    <row r="24">
      <c r="A24" s="2" t="n"/>
      <c r="B24" s="5" t="inlineStr">
        <is>
          <t>Paid assembly labour (box build)</t>
        </is>
      </c>
      <c r="C24" s="13" t="n">
        <v>0</v>
      </c>
      <c r="D24" s="13" t="n">
        <v>0</v>
      </c>
      <c r="E24" s="13" t="n">
        <v>0</v>
      </c>
      <c r="F24" s="13" t="n">
        <v>2.5</v>
      </c>
      <c r="G24" s="5" t="inlineStr">
        <is>
          <t>You build 5-100 yourself (time not costed, see row below). 1,000: EMS box build (roadmap §3, estimate).</t>
        </is>
      </c>
    </row>
    <row r="25">
      <c r="A25" s="2" t="n"/>
      <c r="B25" s="9" t="inlineStr">
        <is>
          <t>Variable cost per unit</t>
        </is>
      </c>
      <c r="C25" s="23">
        <f>C21+C23+C24</f>
        <v/>
      </c>
      <c r="D25" s="23">
        <f>D21+D23+D24</f>
        <v/>
      </c>
      <c r="E25" s="23">
        <f>E21+E23+E24</f>
        <v/>
      </c>
      <c r="F25" s="23">
        <f>F21+F23+F24</f>
        <v/>
      </c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9" t="inlineStr">
        <is>
          <t>One-time costs for the batch (whole $ amount)</t>
        </is>
      </c>
      <c r="B27" s="2" t="n"/>
      <c r="C27" s="2" t="n"/>
      <c r="D27" s="2" t="n"/>
      <c r="E27" s="2" t="n"/>
      <c r="F27" s="2" t="n"/>
      <c r="G27" s="2" t="n"/>
    </row>
    <row r="28">
      <c r="A28" s="2" t="n"/>
      <c r="B28" s="14" t="inlineStr">
        <is>
          <t>Other shipping lump (Adafruit $15 + Seeed $12 + Waveshare $20 + AliExpress $10; JLCPCB's is in row 1)</t>
        </is>
      </c>
      <c r="C28" s="13" t="n">
        <v>57</v>
      </c>
      <c r="D28" s="13" t="n">
        <v>0</v>
      </c>
      <c r="E28" s="13" t="n">
        <v>0</v>
      </c>
      <c r="F28" s="13" t="n">
        <v>0</v>
      </c>
      <c r="G28" s="14" t="inlineStr">
        <is>
          <t>Shopping List (option C) shipping rows. At 10+ freight is per unit (row 13).</t>
        </is>
      </c>
    </row>
    <row r="29">
      <c r="A29" s="2" t="n"/>
      <c r="B29" s="14" t="inlineStr">
        <is>
          <t>Bench tools and consumables (tape, glue, drill bit, vinyl, IPA, glasses)</t>
        </is>
      </c>
      <c r="C29" s="13" t="n">
        <v>61</v>
      </c>
      <c r="D29" s="13" t="n">
        <v>0</v>
      </c>
      <c r="E29" s="13" t="n">
        <v>0</v>
      </c>
      <c r="F29" s="13" t="n">
        <v>0</v>
      </c>
      <c r="G29" s="14" t="inlineStr">
        <is>
          <t>Shopping List supplies section (charger qty 0 = you own one).</t>
        </is>
      </c>
    </row>
    <row r="30">
      <c r="A30" s="2" t="n"/>
      <c r="B30" s="14" t="inlineStr">
        <is>
          <t>Tester spares (option C: 1 spare of each current + generic camera, screen, battery; 1 magnet piece)</t>
        </is>
      </c>
      <c r="C30" s="13" t="n">
        <v>46.93</v>
      </c>
      <c r="D30" s="13" t="n">
        <v>0</v>
      </c>
      <c r="E30" s="13" t="n">
        <v>0</v>
      </c>
      <c r="F30" s="13" t="n">
        <v>0</v>
      </c>
      <c r="G30" s="14" t="inlineStr">
        <is>
          <t>12.99 + 7 + 6.99 + 4.50 + 5.95 + 3 + 6.50 (Shopping List qty 6 of each kind).</t>
        </is>
      </c>
    </row>
    <row r="31">
      <c r="A31" s="2" t="n"/>
      <c r="B31" s="14" t="inlineStr">
        <is>
          <t>Supplier samples (2 each from 2 suppliers, incl. 4 knockoff shells) + express</t>
        </is>
      </c>
      <c r="C31" s="13" t="n">
        <v>0</v>
      </c>
      <c r="D31" s="13" t="n">
        <v>150</v>
      </c>
      <c r="E31" s="13" t="n">
        <v>150</v>
      </c>
      <c r="F31" s="13" t="n">
        <v>120</v>
      </c>
      <c r="G31" s="14" t="inlineStr">
        <is>
          <t>Alibaba sheet row 16 (estimate); KNOCKOFF_SHELL_PLAN.md §1.</t>
        </is>
      </c>
    </row>
    <row r="32">
      <c r="A32" s="2" t="n"/>
      <c r="B32" s="14" t="inlineStr">
        <is>
          <t>Pogo test jig + fixtures</t>
        </is>
      </c>
      <c r="C32" s="13" t="n">
        <v>0</v>
      </c>
      <c r="D32" s="13" t="n">
        <v>0</v>
      </c>
      <c r="E32" s="13" t="n">
        <v>100</v>
      </c>
      <c r="F32" s="13" t="n">
        <v>150</v>
      </c>
      <c r="G32" s="14" t="inlineStr">
        <is>
          <t>Roadmap §5: $50-150 (estimate).</t>
        </is>
      </c>
    </row>
    <row r="33">
      <c r="A33" s="2" t="n"/>
      <c r="B33" s="14" t="inlineStr">
        <is>
          <t>Third-party pre-shipment inspection</t>
        </is>
      </c>
      <c r="C33" s="13" t="n">
        <v>0</v>
      </c>
      <c r="D33" s="13" t="n">
        <v>0</v>
      </c>
      <c r="E33" s="13" t="n">
        <v>0</v>
      </c>
      <c r="F33" s="13" t="n">
        <v>300</v>
      </c>
      <c r="G33" s="14" t="inlineStr">
        <is>
          <t>~1 man-day (estimate). Only worth it at 1,000.</t>
        </is>
      </c>
    </row>
    <row r="34">
      <c r="A34" s="2" t="n"/>
      <c r="B34" s="9" t="inlineStr">
        <is>
          <t>One-time total for the batch</t>
        </is>
      </c>
      <c r="C34" s="22">
        <f>SUM(C28:C33)</f>
        <v/>
      </c>
      <c r="D34" s="22">
        <f>SUM(D28:D33)</f>
        <v/>
      </c>
      <c r="E34" s="22">
        <f>SUM(E28:E33)</f>
        <v/>
      </c>
      <c r="F34" s="22">
        <f>SUM(F28:F33)</f>
        <v/>
      </c>
      <c r="G34" s="2" t="n"/>
    </row>
    <row r="35">
      <c r="A35" s="2" t="n"/>
      <c r="B35" s="5" t="inlineStr">
        <is>
          <t>One-time per unit</t>
        </is>
      </c>
      <c r="C35" s="6">
        <f>C34/C$5</f>
        <v/>
      </c>
      <c r="D35" s="6">
        <f>D34/D$5</f>
        <v/>
      </c>
      <c r="E35" s="6">
        <f>E34/E$5</f>
        <v/>
      </c>
      <c r="F35" s="6">
        <f>F34/F$5</f>
        <v/>
      </c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9" t="inlineStr">
        <is>
          <t>COST PER UNIT (before selling-legally costs)</t>
        </is>
      </c>
      <c r="C37" s="23">
        <f>C25+C35</f>
        <v/>
      </c>
      <c r="D37" s="23">
        <f>D25+D35</f>
        <v/>
      </c>
      <c r="E37" s="23">
        <f>E25+E35</f>
        <v/>
      </c>
      <c r="F37" s="23">
        <f>F25+F35</f>
        <v/>
      </c>
      <c r="G37" s="5" t="inlineStr">
        <is>
          <t>Compare: Alibaba_Bulk_Sourcing.xlsx ≈ $92 @10, $46 @100, $34 @1,000 (see 'Checks').</t>
        </is>
      </c>
    </row>
    <row r="38">
      <c r="A38" s="2" t="n"/>
      <c r="B38" s="5" t="inlineStr">
        <is>
          <t>Selling legally? (1 = yes, spread the one-time certification over this batch)</t>
        </is>
      </c>
      <c r="C38" s="15" t="n">
        <v>0</v>
      </c>
      <c r="D38" s="15" t="n">
        <v>0</v>
      </c>
      <c r="E38" s="15" t="n">
        <v>1</v>
      </c>
      <c r="F38" s="15" t="n">
        <v>1</v>
      </c>
      <c r="G38" s="5" t="inlineStr">
        <is>
          <t>5 = testers (not sold); 10 = free / at-cost beta (KNOCKOFF_SHELL_PLAN.md §5). Public sales start at 100.</t>
        </is>
      </c>
    </row>
    <row r="39">
      <c r="A39" s="2" t="n"/>
      <c r="B39" s="5" t="inlineStr">
        <is>
          <t>Certification, lawyer, LLC, trademark, insurance per unit</t>
        </is>
      </c>
      <c r="C39" s="6">
        <f>C38*'Inputs'!$B$60/C$5</f>
        <v/>
      </c>
      <c r="D39" s="6">
        <f>D38*'Inputs'!$B$60/D$5</f>
        <v/>
      </c>
      <c r="E39" s="6">
        <f>E38*'Inputs'!$B$60/E$5</f>
        <v/>
      </c>
      <c r="F39" s="6">
        <f>F38*'Inputs'!$B$60/F$5</f>
        <v/>
      </c>
      <c r="G39" s="2" t="n"/>
    </row>
    <row r="40">
      <c r="A40" s="2" t="n"/>
      <c r="B40" s="9" t="inlineStr">
        <is>
          <t>COST PER UNIT incl. selling-legally costs</t>
        </is>
      </c>
      <c r="C40" s="23">
        <f>C37+C39</f>
        <v/>
      </c>
      <c r="D40" s="23">
        <f>D37+D39</f>
        <v/>
      </c>
      <c r="E40" s="23">
        <f>E37+E39</f>
        <v/>
      </c>
      <c r="F40" s="23">
        <f>F37+F39</f>
        <v/>
      </c>
      <c r="G40" s="2" t="n"/>
    </row>
    <row r="41">
      <c r="A41" s="2" t="n"/>
      <c r="B41" s="9" t="inlineStr">
        <is>
          <t>Cash for the whole batch (incl. one-time)</t>
        </is>
      </c>
      <c r="C41" s="29">
        <f>C40*C$5</f>
        <v/>
      </c>
      <c r="D41" s="29">
        <f>D40*D$5</f>
        <v/>
      </c>
      <c r="E41" s="29">
        <f>E40*E$5</f>
        <v/>
      </c>
      <c r="F41" s="29">
        <f>F40*F$5</f>
        <v/>
      </c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9" t="inlineStr">
        <is>
          <t>Information only (not added above)</t>
        </is>
      </c>
      <c r="B43" s="2" t="n"/>
      <c r="C43" s="2" t="n"/>
      <c r="D43" s="2" t="n"/>
      <c r="E43" s="2" t="n"/>
      <c r="F43" s="2" t="n"/>
      <c r="G43" s="2" t="n"/>
    </row>
    <row r="44">
      <c r="A44" s="2" t="n"/>
      <c r="B44" s="5" t="inlineStr">
        <is>
          <t>JLCPCB assembly fee inside the PCBA price: (setup + extended fees) ÷ batch + joints × rate</t>
        </is>
      </c>
      <c r="C44" s="6">
        <f>('Inputs'!$B$35+'Inputs'!$B$36*'Inputs'!$B$37)/C$5+'Inputs'!$B$38*'Inputs'!$B$39</f>
        <v/>
      </c>
      <c r="D44" s="6">
        <f>('Inputs'!$B$35+'Inputs'!$B$36*'Inputs'!$B$37)/D$5+'Inputs'!$B$38*'Inputs'!$B$39</f>
        <v/>
      </c>
      <c r="E44" s="6">
        <f>('Inputs'!$B$35+'Inputs'!$B$36*'Inputs'!$B$37)/E$5+'Inputs'!$B$38*'Inputs'!$B$39</f>
        <v/>
      </c>
      <c r="F44" s="6">
        <f>('Inputs'!$B$35+'Inputs'!$B$36*'Inputs'!$B$37)/F$5+'Inputs'!$B$38*'Inputs'!$B$39</f>
        <v/>
      </c>
      <c r="G44" s="5" t="inlineStr">
        <is>
          <t>Why the board price drops from 10 to 100: the fixed $67 per order is shared. The joint fee itself is only ~$0.40 a board; the rest of row 1 is parts.</t>
        </is>
      </c>
    </row>
    <row r="45">
      <c r="A45" s="2" t="n"/>
      <c r="B45" s="5" t="inlineStr">
        <is>
          <t>Your time per unit, valued (not cash)</t>
        </is>
      </c>
      <c r="C45" s="6">
        <f>IF(C24&gt;0,0,'Inputs'!$B$41/60*'Inputs'!$B$42)</f>
        <v/>
      </c>
      <c r="D45" s="6">
        <f>IF(D24&gt;0,0,'Inputs'!$B$41/60*'Inputs'!$B$42)</f>
        <v/>
      </c>
      <c r="E45" s="6">
        <f>IF(E24&gt;0,0,'Inputs'!$B$41/60*'Inputs'!$B$42)</f>
        <v/>
      </c>
      <c r="F45" s="6">
        <f>IF(F24&gt;0,0,'Inputs'!$B$41/60*'Inputs'!$B$42)</f>
        <v/>
      </c>
      <c r="G45" s="5" t="inlineStr">
        <is>
          <t>37 min × $15/h. Zero where paid labour takes over.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9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Claude API cost per solve and per subscriber per month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Chosen model and usage come from 'Inputs'. Batch pricing does not apply to live solves.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Item</t>
        </is>
      </c>
      <c r="B4" s="4" t="inlineStr">
        <is>
          <t>Value</t>
        </is>
      </c>
      <c r="C4" s="4" t="inlineStr">
        <is>
          <t>How it's worked out</t>
        </is>
      </c>
      <c r="D4" s="2" t="n"/>
      <c r="E4" s="2" t="n"/>
      <c r="F4" s="2" t="n"/>
      <c r="G4" s="2" t="n"/>
      <c r="H4" s="2" t="n"/>
      <c r="I4" s="2" t="n"/>
    </row>
    <row r="5">
      <c r="A5" s="5" t="inlineStr">
        <is>
          <t>Model</t>
        </is>
      </c>
      <c r="B5" s="5">
        <f>'Inputs'!$B$20</f>
        <v/>
      </c>
      <c r="C5" s="5" t="inlineStr">
        <is>
          <t>Inputs</t>
        </is>
      </c>
      <c r="D5" s="2" t="n"/>
      <c r="E5" s="2" t="n"/>
      <c r="F5" s="2" t="n"/>
      <c r="G5" s="2" t="n"/>
      <c r="H5" s="2" t="n"/>
      <c r="I5" s="2" t="n"/>
    </row>
    <row r="6">
      <c r="A6" s="5" t="inlineStr">
        <is>
          <t>Input price $/M tokens</t>
        </is>
      </c>
      <c r="B6" s="6">
        <f>INDEX('Inputs'!$B$56:$B$58,MATCH(B5,'Inputs'!$A$56:$A$58,0))</f>
        <v/>
      </c>
      <c r="C6" s="5" t="inlineStr">
        <is>
          <t>Model table on Inputs</t>
        </is>
      </c>
      <c r="D6" s="2" t="n"/>
      <c r="E6" s="2" t="n"/>
      <c r="F6" s="2" t="n"/>
      <c r="G6" s="2" t="n"/>
      <c r="H6" s="2" t="n"/>
      <c r="I6" s="2" t="n"/>
    </row>
    <row r="7">
      <c r="A7" s="5" t="inlineStr">
        <is>
          <t>Output price $/M tokens</t>
        </is>
      </c>
      <c r="B7" s="6">
        <f>INDEX('Inputs'!$C$56:$C$58,MATCH(B5,'Inputs'!$A$56:$A$58,0))</f>
        <v/>
      </c>
      <c r="C7" s="5" t="inlineStr">
        <is>
          <t>Model table</t>
        </is>
      </c>
      <c r="D7" s="2" t="n"/>
      <c r="E7" s="2" t="n"/>
      <c r="F7" s="2" t="n"/>
      <c r="G7" s="2" t="n"/>
      <c r="H7" s="2" t="n"/>
      <c r="I7" s="2" t="n"/>
    </row>
    <row r="8">
      <c r="A8" s="5" t="inlineStr">
        <is>
          <t>Cache read price $/M tokens</t>
        </is>
      </c>
      <c r="B8" s="6">
        <f>INDEX('Inputs'!$D$56:$D$58,MATCH(B5,'Inputs'!$A$56:$A$58,0))</f>
        <v/>
      </c>
      <c r="C8" s="5" t="inlineStr">
        <is>
          <t>Model table</t>
        </is>
      </c>
      <c r="D8" s="2" t="n"/>
      <c r="E8" s="2" t="n"/>
      <c r="F8" s="2" t="n"/>
      <c r="G8" s="2" t="n"/>
      <c r="H8" s="2" t="n"/>
      <c r="I8" s="2" t="n"/>
    </row>
    <row r="9">
      <c r="A9" s="5" t="inlineStr">
        <is>
          <t>Output tokens per solve (incl. thinking)</t>
        </is>
      </c>
      <c r="B9" s="8">
        <f>INDEX('Inputs'!$E$56:$E$58,MATCH(B5,'Inputs'!$A$56:$A$58,0))</f>
        <v/>
      </c>
      <c r="C9" s="5" t="inlineStr">
        <is>
          <t>Model table</t>
        </is>
      </c>
      <c r="D9" s="2" t="n"/>
      <c r="E9" s="2" t="n"/>
      <c r="F9" s="2" t="n"/>
      <c r="G9" s="2" t="n"/>
      <c r="H9" s="2" t="n"/>
      <c r="I9" s="2" t="n"/>
    </row>
    <row r="10">
      <c r="A10" s="5" t="inlineStr">
        <is>
          <t>Input tokens read from cache</t>
        </is>
      </c>
      <c r="B10" s="8">
        <f>'Inputs'!$B$24*'Inputs'!$B$25</f>
        <v/>
      </c>
      <c r="C10" s="5" t="inlineStr">
        <is>
          <t>cached prefix × hit rate</t>
        </is>
      </c>
      <c r="D10" s="2" t="n"/>
      <c r="E10" s="2" t="n"/>
      <c r="F10" s="2" t="n"/>
      <c r="G10" s="2" t="n"/>
      <c r="H10" s="2" t="n"/>
      <c r="I10" s="2" t="n"/>
    </row>
    <row r="11">
      <c r="A11" s="5" t="inlineStr">
        <is>
          <t>Input tokens written to cache (misses)</t>
        </is>
      </c>
      <c r="B11" s="8">
        <f>'Inputs'!$B$24*(1-'Inputs'!$B$25)</f>
        <v/>
      </c>
      <c r="C11" s="5" t="inlineStr">
        <is>
          <t>cached prefix × miss rate</t>
        </is>
      </c>
      <c r="D11" s="2" t="n"/>
      <c r="E11" s="2" t="n"/>
      <c r="F11" s="2" t="n"/>
      <c r="G11" s="2" t="n"/>
      <c r="H11" s="2" t="n"/>
      <c r="I11" s="2" t="n"/>
    </row>
    <row r="12">
      <c r="A12" s="5" t="inlineStr">
        <is>
          <t>Input tokens at full price</t>
        </is>
      </c>
      <c r="B12" s="8">
        <f>'Inputs'!$B$23-B10</f>
        <v/>
      </c>
      <c r="C12" s="5" t="inlineStr">
        <is>
          <t>all input − cache reads (writes are billed at full price plus the write premium)</t>
        </is>
      </c>
      <c r="D12" s="2" t="n"/>
      <c r="E12" s="2" t="n"/>
      <c r="F12" s="2" t="n"/>
      <c r="G12" s="2" t="n"/>
      <c r="H12" s="2" t="n"/>
      <c r="I12" s="2" t="n"/>
    </row>
    <row r="13">
      <c r="A13" s="5" t="inlineStr">
        <is>
          <t>Input cost per solve</t>
        </is>
      </c>
      <c r="B13" s="28">
        <f>(B12*B6+B10*B8+B11*B6*('Inputs'!$B$26-1))/1000000</f>
        <v/>
      </c>
      <c r="C13" s="5" t="inlineStr">
        <is>
          <t>full-price input + cache reads + write premium</t>
        </is>
      </c>
      <c r="D13" s="2" t="n"/>
      <c r="E13" s="2" t="n"/>
      <c r="F13" s="2" t="n"/>
      <c r="G13" s="2" t="n"/>
      <c r="H13" s="2" t="n"/>
      <c r="I13" s="2" t="n"/>
    </row>
    <row r="14">
      <c r="A14" s="5" t="inlineStr">
        <is>
          <t>Output cost per solve</t>
        </is>
      </c>
      <c r="B14" s="28">
        <f>B9*B7/1000000</f>
        <v/>
      </c>
      <c r="C14" s="5" t="inlineStr">
        <is>
          <t>output tokens × output price</t>
        </is>
      </c>
      <c r="D14" s="2" t="n"/>
      <c r="E14" s="2" t="n"/>
      <c r="F14" s="2" t="n"/>
      <c r="G14" s="2" t="n"/>
      <c r="H14" s="2" t="n"/>
      <c r="I14" s="2" t="n"/>
    </row>
    <row r="15">
      <c r="A15" s="9" t="inlineStr">
        <is>
          <t>COST PER SOLVE</t>
        </is>
      </c>
      <c r="B15" s="36">
        <f>(B13+B14)*(1-'Inputs'!$B$27)</f>
        <v/>
      </c>
      <c r="C15" s="5" t="inlineStr">
        <is>
          <t>after any batch discount</t>
        </is>
      </c>
      <c r="D15" s="2" t="n"/>
      <c r="E15" s="2" t="n"/>
      <c r="F15" s="2" t="n"/>
      <c r="G15" s="2" t="n"/>
      <c r="H15" s="2" t="n"/>
      <c r="I15" s="2" t="n"/>
    </row>
    <row r="16">
      <c r="A16" s="5" t="inlineStr">
        <is>
          <t>Solves per user per month (typical)</t>
        </is>
      </c>
      <c r="B16" s="8">
        <f>'Inputs'!$B$21*'Inputs'!$B$22</f>
        <v/>
      </c>
      <c r="C16" s="5" t="inlineStr">
        <is>
          <t>solves/day × days</t>
        </is>
      </c>
      <c r="D16" s="2" t="n"/>
      <c r="E16" s="2" t="n"/>
      <c r="F16" s="2" t="n"/>
      <c r="G16" s="2" t="n"/>
      <c r="H16" s="2" t="n"/>
      <c r="I16" s="2" t="n"/>
    </row>
    <row r="17">
      <c r="A17" s="9" t="inlineStr">
        <is>
          <t>API COST PER SUBSCRIBER PER MONTH (typical)</t>
        </is>
      </c>
      <c r="B17" s="25">
        <f>B15*B16</f>
        <v/>
      </c>
      <c r="C17" s="5" t="inlineStr"/>
      <c r="D17" s="2" t="n"/>
      <c r="E17" s="2" t="n"/>
      <c r="F17" s="2" t="n"/>
      <c r="G17" s="2" t="n"/>
      <c r="H17" s="2" t="n"/>
      <c r="I17" s="2" t="n"/>
    </row>
    <row r="18">
      <c r="A18" s="5" t="inlineStr">
        <is>
          <t>API cost per month for a user at the fair-use cap</t>
        </is>
      </c>
      <c r="B18" s="6">
        <f>B15*'Inputs'!$B$9</f>
        <v/>
      </c>
      <c r="C18" s="5" t="inlineStr">
        <is>
          <t>cap = 500 solves (proxy)</t>
        </is>
      </c>
      <c r="D18" s="2" t="n"/>
      <c r="E18" s="2" t="n"/>
      <c r="F18" s="2" t="n"/>
      <c r="G18" s="2" t="n"/>
      <c r="H18" s="2" t="n"/>
      <c r="I18" s="2" t="n"/>
    </row>
    <row r="19">
      <c r="A19" s="5" t="inlineStr">
        <is>
          <t>Solves per month that $15 can pay for</t>
        </is>
      </c>
      <c r="B19" s="8">
        <f>('Inputs'!$B$7-('Inputs'!$B$7*'Inputs'!$B$10+'Inputs'!$B$11))/B15</f>
        <v/>
      </c>
      <c r="C19" s="5" t="inlineStr">
        <is>
          <t>($15 − card fee) ÷ cost per solve. Hosting excluded.</t>
        </is>
      </c>
      <c r="D19" s="2" t="n"/>
      <c r="E19" s="2" t="n"/>
      <c r="F19" s="2" t="n"/>
      <c r="G19" s="2" t="n"/>
      <c r="H19" s="2" t="n"/>
      <c r="I19" s="2" t="n"/>
    </row>
    <row r="20">
      <c r="A20" s="5" t="inlineStr">
        <is>
          <t>…as solves per day</t>
        </is>
      </c>
      <c r="B20" s="11">
        <f>B19/'Inputs'!$B$22</f>
        <v/>
      </c>
      <c r="C20" s="5" t="inlineStr"/>
      <c r="D20" s="2" t="n"/>
      <c r="E20" s="2" t="n"/>
      <c r="F20" s="2" t="n"/>
      <c r="G20" s="2" t="n"/>
      <c r="H20" s="2" t="n"/>
      <c r="I20" s="2" t="n"/>
    </row>
    <row r="21">
      <c r="A21" s="5" t="inlineStr">
        <is>
          <t>Cap that keeps a heavy user at break-even (suggested MONTHLY_CAP)</t>
        </is>
      </c>
      <c r="B21" s="8">
        <f>ROUNDDOWN(B19,-1)</f>
        <v/>
      </c>
      <c r="C21" s="5" t="inlineStr">
        <is>
          <t>rounded down to 10</t>
        </is>
      </c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9" t="inlineStr">
        <is>
          <t>Scenarios: API cost per user per month (same cache assumptions)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1" t="inlineStr">
        <is>
          <t>Model</t>
        </is>
      </c>
      <c r="B29" s="21" t="inlineStr">
        <is>
          <t>Cost per solve</t>
        </is>
      </c>
      <c r="C29" s="21" t="inlineStr">
        <is>
          <t>Light 2/day</t>
        </is>
      </c>
      <c r="D29" s="21" t="inlineStr">
        <is>
          <t>Typical (Inputs)</t>
        </is>
      </c>
      <c r="E29" s="21" t="inlineStr">
        <is>
          <t>Heavy 10/day</t>
        </is>
      </c>
      <c r="F29" s="21" t="inlineStr">
        <is>
          <t>At the cap</t>
        </is>
      </c>
      <c r="G29" s="9" t="inlineStr">
        <is>
          <t>Light / heavy solves per day:</t>
        </is>
      </c>
      <c r="H29" s="15" t="n">
        <v>2</v>
      </c>
      <c r="I29" s="15" t="n">
        <v>10</v>
      </c>
    </row>
    <row r="30">
      <c r="A30" s="5">
        <f>'Inputs'!$A$56</f>
        <v/>
      </c>
      <c r="B30" s="28">
        <f>(('Inputs'!$B$23-'Inputs'!$B$24*'Inputs'!$B$25)*'Inputs'!$B$56+'Inputs'!$B$24*'Inputs'!$B$25*'Inputs'!$D$56+'Inputs'!$B$24*(1-'Inputs'!$B$25)*'Inputs'!$B$56*('Inputs'!$B$26-1)+'Inputs'!$E$56*'Inputs'!$C$56)/1000000*(1-'Inputs'!$B$27)</f>
        <v/>
      </c>
      <c r="C30" s="6">
        <f>B30*$H$29*'Inputs'!$B$22</f>
        <v/>
      </c>
      <c r="D30" s="6">
        <f>B30*'Inputs'!$B$21*'Inputs'!$B$22</f>
        <v/>
      </c>
      <c r="E30" s="6">
        <f>B30*$I$29*'Inputs'!$B$22</f>
        <v/>
      </c>
      <c r="F30" s="6">
        <f>B30*'Inputs'!$B$9</f>
        <v/>
      </c>
      <c r="G30" s="2" t="n"/>
      <c r="H30" s="2" t="n"/>
      <c r="I30" s="2" t="n"/>
    </row>
    <row r="31">
      <c r="A31" s="5">
        <f>'Inputs'!$A$57</f>
        <v/>
      </c>
      <c r="B31" s="28">
        <f>(('Inputs'!$B$23-'Inputs'!$B$24*'Inputs'!$B$25)*'Inputs'!$B$57+'Inputs'!$B$24*'Inputs'!$B$25*'Inputs'!$D$57+'Inputs'!$B$24*(1-'Inputs'!$B$25)*'Inputs'!$B$57*('Inputs'!$B$26-1)+'Inputs'!$E$57*'Inputs'!$C$57)/1000000*(1-'Inputs'!$B$27)</f>
        <v/>
      </c>
      <c r="C31" s="6">
        <f>B31*$H$29*'Inputs'!$B$22</f>
        <v/>
      </c>
      <c r="D31" s="6">
        <f>B31*'Inputs'!$B$21*'Inputs'!$B$22</f>
        <v/>
      </c>
      <c r="E31" s="6">
        <f>B31*$I$29*'Inputs'!$B$22</f>
        <v/>
      </c>
      <c r="F31" s="6">
        <f>B31*'Inputs'!$B$9</f>
        <v/>
      </c>
      <c r="G31" s="2" t="n"/>
      <c r="H31" s="2" t="n"/>
      <c r="I31" s="2" t="n"/>
    </row>
    <row r="32">
      <c r="A32" s="5">
        <f>'Inputs'!$A$58</f>
        <v/>
      </c>
      <c r="B32" s="28">
        <f>(('Inputs'!$B$23-'Inputs'!$B$24*'Inputs'!$B$25)*'Inputs'!$B$58+'Inputs'!$B$24*'Inputs'!$B$25*'Inputs'!$D$58+'Inputs'!$B$24*(1-'Inputs'!$B$25)*'Inputs'!$B$58*('Inputs'!$B$26-1)+'Inputs'!$E$58*'Inputs'!$C$58)/1000000*(1-'Inputs'!$B$27)</f>
        <v/>
      </c>
      <c r="C32" s="6">
        <f>B32*$H$29*'Inputs'!$B$22</f>
        <v/>
      </c>
      <c r="D32" s="6">
        <f>B32*'Inputs'!$B$21*'Inputs'!$B$22</f>
        <v/>
      </c>
      <c r="E32" s="6">
        <f>B32*$I$29*'Inputs'!$B$22</f>
        <v/>
      </c>
      <c r="F32" s="6">
        <f>B32*'Inputs'!$B$9</f>
        <v/>
      </c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3" t="inlineStr">
        <is>
          <t>Column C is narrow-looking because it also holds the notes above; numbers are $ per user per month.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80" customWidth="1" min="6" max="6"/>
  </cols>
  <sheetData>
    <row r="1">
      <c r="A1" s="1" t="inlineStr">
        <is>
          <t>Margin on the $225 calculator, margin on the $15 subscription, break-even and payback</t>
        </is>
      </c>
      <c r="B1" s="2" t="n"/>
      <c r="C1" s="2" t="n"/>
      <c r="D1" s="2" t="n"/>
      <c r="E1" s="2" t="n"/>
      <c r="F1" s="2" t="n"/>
    </row>
    <row r="2">
      <c r="A2" s="3" t="inlineStr">
        <is>
          <t>Columns = batch size. Unit cost includes the selling-legally costs where 'Selling legally' = 1 on 'Unit cost'.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Item</t>
        </is>
      </c>
      <c r="B4" s="4" t="inlineStr">
        <is>
          <t>5 testers</t>
        </is>
      </c>
      <c r="C4" s="4" t="inlineStr">
        <is>
          <t>10 units</t>
        </is>
      </c>
      <c r="D4" s="4" t="inlineStr">
        <is>
          <t>100 units</t>
        </is>
      </c>
      <c r="E4" s="4" t="inlineStr">
        <is>
          <t>1,000 units</t>
        </is>
      </c>
      <c r="F4" s="4" t="inlineStr">
        <is>
          <t>How it's worked out</t>
        </is>
      </c>
    </row>
    <row r="5">
      <c r="A5" s="5" t="inlineStr">
        <is>
          <t>Batch size</t>
        </is>
      </c>
      <c r="B5" s="8">
        <f>'Unit cost'!C$5</f>
        <v/>
      </c>
      <c r="C5" s="8">
        <f>'Unit cost'!D$5</f>
        <v/>
      </c>
      <c r="D5" s="8">
        <f>'Unit cost'!E$5</f>
        <v/>
      </c>
      <c r="E5" s="8">
        <f>'Unit cost'!F$5</f>
        <v/>
      </c>
      <c r="F5" s="5" t="inlineStr"/>
    </row>
    <row r="6">
      <c r="A6" s="21" t="inlineStr">
        <is>
          <t>HARDWARE</t>
        </is>
      </c>
      <c r="B6" s="26" t="n"/>
      <c r="C6" s="26" t="n"/>
      <c r="D6" s="26" t="n"/>
      <c r="E6" s="26" t="n"/>
      <c r="F6" s="2" t="n"/>
    </row>
    <row r="7">
      <c r="A7" s="5" t="inlineStr">
        <is>
          <t>Price</t>
        </is>
      </c>
      <c r="B7" s="6">
        <f>'Inputs'!$B$6</f>
        <v/>
      </c>
      <c r="C7" s="6">
        <f>'Inputs'!$B$6</f>
        <v/>
      </c>
      <c r="D7" s="6">
        <f>'Inputs'!$B$6</f>
        <v/>
      </c>
      <c r="E7" s="6">
        <f>'Inputs'!$B$6</f>
        <v/>
      </c>
      <c r="F7" s="5" t="inlineStr">
        <is>
          <t>Inputs</t>
        </is>
      </c>
    </row>
    <row r="8">
      <c r="A8" s="5" t="inlineStr">
        <is>
          <t>Card fee</t>
        </is>
      </c>
      <c r="B8" s="6">
        <f>'Inputs'!$B$6*'Inputs'!$B$10+'Inputs'!$B$11</f>
        <v/>
      </c>
      <c r="C8" s="6">
        <f>'Inputs'!$B$6*'Inputs'!$B$10+'Inputs'!$B$11</f>
        <v/>
      </c>
      <c r="D8" s="6">
        <f>'Inputs'!$B$6*'Inputs'!$B$10+'Inputs'!$B$11</f>
        <v/>
      </c>
      <c r="E8" s="6">
        <f>'Inputs'!$B$6*'Inputs'!$B$10+'Inputs'!$B$11</f>
        <v/>
      </c>
      <c r="F8" s="5" t="inlineStr">
        <is>
          <t>2.9 % + 30¢</t>
        </is>
      </c>
    </row>
    <row r="9">
      <c r="A9" s="5" t="inlineStr">
        <is>
          <t>Shipping to the customer</t>
        </is>
      </c>
      <c r="B9" s="6">
        <f>'Inputs'!$B$12</f>
        <v/>
      </c>
      <c r="C9" s="6">
        <f>'Inputs'!$B$12</f>
        <v/>
      </c>
      <c r="D9" s="6">
        <f>'Inputs'!$B$12</f>
        <v/>
      </c>
      <c r="E9" s="6">
        <f>'Inputs'!$B$12</f>
        <v/>
      </c>
      <c r="F9" s="5" t="inlineStr">
        <is>
          <t>Inputs</t>
        </is>
      </c>
    </row>
    <row r="10">
      <c r="A10" s="5" t="inlineStr">
        <is>
          <t>Returns / warranty allowance</t>
        </is>
      </c>
      <c r="B10" s="6">
        <f>'Inputs'!$B$6*'Inputs'!$B$13</f>
        <v/>
      </c>
      <c r="C10" s="6">
        <f>'Inputs'!$B$6*'Inputs'!$B$13</f>
        <v/>
      </c>
      <c r="D10" s="6">
        <f>'Inputs'!$B$6*'Inputs'!$B$13</f>
        <v/>
      </c>
      <c r="E10" s="6">
        <f>'Inputs'!$B$6*'Inputs'!$B$13</f>
        <v/>
      </c>
      <c r="F10" s="5" t="inlineStr">
        <is>
          <t>% of price</t>
        </is>
      </c>
    </row>
    <row r="11">
      <c r="A11" s="5" t="inlineStr">
        <is>
          <t>API cost of the free first month</t>
        </is>
      </c>
      <c r="B11" s="6">
        <f>'API cost'!$B$17*'Inputs'!$B$8</f>
        <v/>
      </c>
      <c r="C11" s="6">
        <f>'API cost'!$B$17*'Inputs'!$B$8</f>
        <v/>
      </c>
      <c r="D11" s="6">
        <f>'API cost'!$B$17*'Inputs'!$B$8</f>
        <v/>
      </c>
      <c r="E11" s="6">
        <f>'API cost'!$B$17*'Inputs'!$B$8</f>
        <v/>
      </c>
      <c r="F11" s="5" t="inlineStr">
        <is>
          <t>Every buyer gets it, paying or not</t>
        </is>
      </c>
    </row>
    <row r="12">
      <c r="A12" s="5" t="inlineStr">
        <is>
          <t>Unit cost (incl. selling-legally costs)</t>
        </is>
      </c>
      <c r="B12" s="6">
        <f>'Unit cost'!$C$40</f>
        <v/>
      </c>
      <c r="C12" s="6">
        <f>'Unit cost'!$D$40</f>
        <v/>
      </c>
      <c r="D12" s="6">
        <f>'Unit cost'!$E$40</f>
        <v/>
      </c>
      <c r="E12" s="6">
        <f>'Unit cost'!$F$40</f>
        <v/>
      </c>
      <c r="F12" s="5" t="inlineStr">
        <is>
          <t>'Unit cost' sheet</t>
        </is>
      </c>
    </row>
    <row r="13">
      <c r="A13" s="9" t="inlineStr">
        <is>
          <t>HARDWARE PROFIT PER UNIT</t>
        </is>
      </c>
      <c r="B13" s="25">
        <f>B7-B8-B9-B10-B11-B12</f>
        <v/>
      </c>
      <c r="C13" s="25">
        <f>C7-C8-C9-C10-C11-C12</f>
        <v/>
      </c>
      <c r="D13" s="25">
        <f>D7-D8-D9-D10-D11-D12</f>
        <v/>
      </c>
      <c r="E13" s="25">
        <f>E7-E8-E9-E10-E11-E12</f>
        <v/>
      </c>
      <c r="F13" s="5" t="inlineStr">
        <is>
          <t>price − everything above</t>
        </is>
      </c>
    </row>
    <row r="14">
      <c r="A14" s="5" t="inlineStr">
        <is>
          <t>Hardware margin %</t>
        </is>
      </c>
      <c r="B14" s="7">
        <f>B13/B7</f>
        <v/>
      </c>
      <c r="C14" s="7">
        <f>C13/C7</f>
        <v/>
      </c>
      <c r="D14" s="7">
        <f>D13/D7</f>
        <v/>
      </c>
      <c r="E14" s="7">
        <f>E13/E7</f>
        <v/>
      </c>
      <c r="F14" s="5" t="inlineStr">
        <is>
          <t>profit ÷ price</t>
        </is>
      </c>
    </row>
    <row r="15">
      <c r="A15" s="21" t="inlineStr">
        <is>
          <t>SUBSCRIPTION (per paying user per month)</t>
        </is>
      </c>
      <c r="B15" s="26" t="n"/>
      <c r="C15" s="26" t="n"/>
      <c r="D15" s="26" t="n"/>
      <c r="E15" s="26" t="n"/>
      <c r="F15" s="2" t="n"/>
    </row>
    <row r="16">
      <c r="A16" s="5" t="inlineStr">
        <is>
          <t>Price</t>
        </is>
      </c>
      <c r="B16" s="6">
        <f>'Inputs'!$B$7</f>
        <v/>
      </c>
      <c r="C16" s="6">
        <f>'Inputs'!$B$7</f>
        <v/>
      </c>
      <c r="D16" s="6">
        <f>'Inputs'!$B$7</f>
        <v/>
      </c>
      <c r="E16" s="6">
        <f>'Inputs'!$B$7</f>
        <v/>
      </c>
      <c r="F16" s="5" t="inlineStr">
        <is>
          <t>Inputs</t>
        </is>
      </c>
    </row>
    <row r="17">
      <c r="A17" s="5" t="inlineStr">
        <is>
          <t>Card fee</t>
        </is>
      </c>
      <c r="B17" s="6">
        <f>'Inputs'!$B$7*'Inputs'!$B$10+'Inputs'!$B$11</f>
        <v/>
      </c>
      <c r="C17" s="6">
        <f>'Inputs'!$B$7*'Inputs'!$B$10+'Inputs'!$B$11</f>
        <v/>
      </c>
      <c r="D17" s="6">
        <f>'Inputs'!$B$7*'Inputs'!$B$10+'Inputs'!$B$11</f>
        <v/>
      </c>
      <c r="E17" s="6">
        <f>'Inputs'!$B$7*'Inputs'!$B$10+'Inputs'!$B$11</f>
        <v/>
      </c>
      <c r="F17" s="5" t="inlineStr">
        <is>
          <t>the 30¢ hurts most on small charges</t>
        </is>
      </c>
    </row>
    <row r="18">
      <c r="A18" s="5" t="inlineStr">
        <is>
          <t>Claude API (typical user)</t>
        </is>
      </c>
      <c r="B18" s="6">
        <f>'API cost'!$B$17</f>
        <v/>
      </c>
      <c r="C18" s="6">
        <f>'API cost'!$B$17</f>
        <v/>
      </c>
      <c r="D18" s="6">
        <f>'API cost'!$B$17</f>
        <v/>
      </c>
      <c r="E18" s="6">
        <f>'API cost'!$B$17</f>
        <v/>
      </c>
      <c r="F18" s="5" t="inlineStr">
        <is>
          <t>'API cost' sheet</t>
        </is>
      </c>
    </row>
    <row r="19">
      <c r="A19" s="5" t="inlineStr">
        <is>
          <t>Hosting share</t>
        </is>
      </c>
      <c r="B19" s="6">
        <f>'Inputs'!$B$18/MAX(1,B5*'Inputs'!$B$15)</f>
        <v/>
      </c>
      <c r="C19" s="6">
        <f>'Inputs'!$B$18/MAX(1,C5*'Inputs'!$B$15)</f>
        <v/>
      </c>
      <c r="D19" s="6">
        <f>'Inputs'!$B$18/MAX(1,D5*'Inputs'!$B$15)</f>
        <v/>
      </c>
      <c r="E19" s="6">
        <f>'Inputs'!$B$18/MAX(1,E5*'Inputs'!$B$15)</f>
        <v/>
      </c>
      <c r="F19" s="5" t="inlineStr">
        <is>
          <t>server $/month ÷ paying users (batch × attach rate)</t>
        </is>
      </c>
    </row>
    <row r="20">
      <c r="A20" s="9" t="inlineStr">
        <is>
          <t>SUBSCRIPTION PROFIT PER USER PER MONTH</t>
        </is>
      </c>
      <c r="B20" s="25">
        <f>B16-B17-B18-B19</f>
        <v/>
      </c>
      <c r="C20" s="25">
        <f>C16-C17-C18-C19</f>
        <v/>
      </c>
      <c r="D20" s="25">
        <f>D16-D17-D18-D19</f>
        <v/>
      </c>
      <c r="E20" s="25">
        <f>E16-E17-E18-E19</f>
        <v/>
      </c>
      <c r="F20" s="5" t="inlineStr"/>
    </row>
    <row r="21">
      <c r="A21" s="5" t="inlineStr">
        <is>
          <t>Subscription margin %</t>
        </is>
      </c>
      <c r="B21" s="7">
        <f>B20/B16</f>
        <v/>
      </c>
      <c r="C21" s="7">
        <f>C20/C16</f>
        <v/>
      </c>
      <c r="D21" s="7">
        <f>D20/D16</f>
        <v/>
      </c>
      <c r="E21" s="7">
        <f>E20/E16</f>
        <v/>
      </c>
      <c r="F21" s="5" t="inlineStr"/>
    </row>
    <row r="22">
      <c r="A22" s="5" t="inlineStr">
        <is>
          <t>Same, for a user at the 500-solve cap</t>
        </is>
      </c>
      <c r="B22" s="6">
        <f>B16-B17-'API cost'!$B$18-B19</f>
        <v/>
      </c>
      <c r="C22" s="6">
        <f>C16-C17-'API cost'!$B$18-C19</f>
        <v/>
      </c>
      <c r="D22" s="6">
        <f>D16-D17-'API cost'!$B$18-D19</f>
        <v/>
      </c>
      <c r="E22" s="6">
        <f>E16-E17-'API cost'!$B$18-E19</f>
        <v/>
      </c>
      <c r="F22" s="5" t="inlineStr">
        <is>
          <t>negative = that user costs you money</t>
        </is>
      </c>
    </row>
    <row r="23">
      <c r="A23" s="5" t="inlineStr">
        <is>
          <t>Does $15 cover the API? (typical user)</t>
        </is>
      </c>
      <c r="B23" s="5">
        <f>IF(B18&lt;B16-B17,"YES","NO")</f>
        <v/>
      </c>
      <c r="C23" s="5">
        <f>IF(C18&lt;C16-C17,"YES","NO")</f>
        <v/>
      </c>
      <c r="D23" s="5">
        <f>IF(D18&lt;D16-D17,"YES","NO")</f>
        <v/>
      </c>
      <c r="E23" s="5">
        <f>IF(E18&lt;E16-E17,"YES","NO")</f>
        <v/>
      </c>
      <c r="F23" s="5" t="inlineStr"/>
    </row>
    <row r="24">
      <c r="A24" s="21" t="inlineStr">
        <is>
          <t>LIFETIME (per calculator sold)</t>
        </is>
      </c>
      <c r="B24" s="26" t="n"/>
      <c r="C24" s="26" t="n"/>
      <c r="D24" s="26" t="n"/>
      <c r="E24" s="26" t="n"/>
      <c r="F24" s="2" t="n"/>
    </row>
    <row r="25">
      <c r="A25" s="5" t="inlineStr">
        <is>
          <t>Expected paid months in the horizon</t>
        </is>
      </c>
      <c r="B25" s="11">
        <f>'Inputs'!$B$15*(1-(1-'Inputs'!$B$16)^('Inputs'!$B$17-'Inputs'!$B$8))/'Inputs'!$B$16</f>
        <v/>
      </c>
      <c r="C25" s="11">
        <f>'Inputs'!$B$15*(1-(1-'Inputs'!$B$16)^('Inputs'!$B$17-'Inputs'!$B$8))/'Inputs'!$B$16</f>
        <v/>
      </c>
      <c r="D25" s="11">
        <f>'Inputs'!$B$15*(1-(1-'Inputs'!$B$16)^('Inputs'!$B$17-'Inputs'!$B$8))/'Inputs'!$B$16</f>
        <v/>
      </c>
      <c r="E25" s="11">
        <f>'Inputs'!$B$15*(1-(1-'Inputs'!$B$16)^('Inputs'!$B$17-'Inputs'!$B$8))/'Inputs'!$B$16</f>
        <v/>
      </c>
      <c r="F25" s="5" t="inlineStr">
        <is>
          <t>attach × (1 − (1−churn)^(months−free)) ÷ churn</t>
        </is>
      </c>
    </row>
    <row r="26">
      <c r="A26" s="5" t="inlineStr">
        <is>
          <t>Subscription profit over the horizon</t>
        </is>
      </c>
      <c r="B26" s="6">
        <f>B25*B20</f>
        <v/>
      </c>
      <c r="C26" s="6">
        <f>C25*C20</f>
        <v/>
      </c>
      <c r="D26" s="6">
        <f>D25*D20</f>
        <v/>
      </c>
      <c r="E26" s="6">
        <f>E25*E20</f>
        <v/>
      </c>
      <c r="F26" s="5" t="inlineStr"/>
    </row>
    <row r="27">
      <c r="A27" s="9" t="inlineStr">
        <is>
          <t>TOTAL PROFIT PER CALCULATOR (hardware + subscription)</t>
        </is>
      </c>
      <c r="B27" s="25">
        <f>B13+B26</f>
        <v/>
      </c>
      <c r="C27" s="25">
        <f>C13+C26</f>
        <v/>
      </c>
      <c r="D27" s="25">
        <f>D13+D26</f>
        <v/>
      </c>
      <c r="E27" s="25">
        <f>E13+E26</f>
        <v/>
      </c>
      <c r="F27" s="5" t="inlineStr"/>
    </row>
    <row r="28">
      <c r="A28" s="21" t="inlineStr">
        <is>
          <t>BREAK-EVEN AND PAYBACK</t>
        </is>
      </c>
      <c r="B28" s="26" t="n"/>
      <c r="C28" s="26" t="n"/>
      <c r="D28" s="26" t="n"/>
      <c r="E28" s="26" t="n"/>
      <c r="F28" s="2" t="n"/>
    </row>
    <row r="29">
      <c r="A29" s="5" t="inlineStr">
        <is>
          <t>One-time costs this batch carries (samples, jig, QC, certification)</t>
        </is>
      </c>
      <c r="B29" s="29">
        <f>'Unit cost'!C34+'Unit cost'!C38*'Inputs'!$B$60</f>
        <v/>
      </c>
      <c r="C29" s="29">
        <f>'Unit cost'!D34+'Unit cost'!D38*'Inputs'!$B$60</f>
        <v/>
      </c>
      <c r="D29" s="29">
        <f>'Unit cost'!E34+'Unit cost'!E38*'Inputs'!$B$60</f>
        <v/>
      </c>
      <c r="E29" s="29">
        <f>'Unit cost'!F34+'Unit cost'!F38*'Inputs'!$B$60</f>
        <v/>
      </c>
      <c r="F29" s="5" t="inlineStr">
        <is>
          <t>'Unit cost' one-time + certification if selling</t>
        </is>
      </c>
    </row>
    <row r="30">
      <c r="A30" s="5" t="inlineStr">
        <is>
          <t>Variable cost per unit</t>
        </is>
      </c>
      <c r="B30" s="6">
        <f>'Unit cost'!C25</f>
        <v/>
      </c>
      <c r="C30" s="6">
        <f>'Unit cost'!D25</f>
        <v/>
      </c>
      <c r="D30" s="6">
        <f>'Unit cost'!E25</f>
        <v/>
      </c>
      <c r="E30" s="6">
        <f>'Unit cost'!F25</f>
        <v/>
      </c>
      <c r="F30" s="5" t="inlineStr"/>
    </row>
    <row r="31">
      <c r="A31" s="5" t="inlineStr">
        <is>
          <t>Profit per unit before one-time costs</t>
        </is>
      </c>
      <c r="B31" s="6">
        <f>B7-B8-B9-B10-B11-B30</f>
        <v/>
      </c>
      <c r="C31" s="6">
        <f>C7-C8-C9-C10-C11-C30</f>
        <v/>
      </c>
      <c r="D31" s="6">
        <f>D7-D8-D9-D10-D11-D30</f>
        <v/>
      </c>
      <c r="E31" s="6">
        <f>E7-E8-E9-E10-E11-E30</f>
        <v/>
      </c>
      <c r="F31" s="5" t="inlineStr"/>
    </row>
    <row r="32">
      <c r="A32" s="5" t="inlineStr">
        <is>
          <t>Units to sell to cover the one-time costs (hardware only)</t>
        </is>
      </c>
      <c r="B32" s="8">
        <f>IF(B31&gt;0,ROUNDUP(B29/B31,0),"never")</f>
        <v/>
      </c>
      <c r="C32" s="8">
        <f>IF(C31&gt;0,ROUNDUP(C29/C31,0),"never")</f>
        <v/>
      </c>
      <c r="D32" s="8">
        <f>IF(D31&gt;0,ROUNDUP(D29/D31,0),"never")</f>
        <v/>
      </c>
      <c r="E32" s="8">
        <f>IF(E31&gt;0,ROUNDUP(E29/E31,0),"never")</f>
        <v/>
      </c>
      <c r="F32" s="5" t="inlineStr">
        <is>
          <t>one-time ÷ profit per unit</t>
        </is>
      </c>
    </row>
    <row r="33">
      <c r="A33" s="5" t="inlineStr">
        <is>
          <t>Months for one paying user to repay the free month's API</t>
        </is>
      </c>
      <c r="B33" s="11">
        <f>IF(B20&gt;0,B11/B20,"never")</f>
        <v/>
      </c>
      <c r="C33" s="11">
        <f>IF(C20&gt;0,C11/C20,"never")</f>
        <v/>
      </c>
      <c r="D33" s="11">
        <f>IF(D20&gt;0,D11/D20,"never")</f>
        <v/>
      </c>
      <c r="E33" s="11">
        <f>IF(E20&gt;0,E11/E20,"never")</f>
        <v/>
      </c>
      <c r="F33" s="5" t="inlineStr">
        <is>
          <t>free-month API ÷ subscription profit</t>
        </is>
      </c>
    </row>
    <row r="34">
      <c r="A34" s="5" t="inlineStr">
        <is>
          <t>Months of subscription that would repay the unit cost alone</t>
        </is>
      </c>
      <c r="B34" s="11">
        <f>IF(B20&gt;0,B12/B20,"never")</f>
        <v/>
      </c>
      <c r="C34" s="11">
        <f>IF(C20&gt;0,C12/C20,"never")</f>
        <v/>
      </c>
      <c r="D34" s="11">
        <f>IF(D20&gt;0,D12/D20,"never")</f>
        <v/>
      </c>
      <c r="E34" s="11">
        <f>IF(E20&gt;0,E12/E20,"never")</f>
        <v/>
      </c>
      <c r="F34" s="5" t="inlineStr">
        <is>
          <t>if the calculator were sold at cost</t>
        </is>
      </c>
    </row>
    <row r="35">
      <c r="A35" s="5" t="inlineStr">
        <is>
          <t>Calculators to sell to get the $2,000 budget back</t>
        </is>
      </c>
      <c r="B35" s="8">
        <f>IF(B13&gt;0,ROUNDUP('Inputs'!$B$50/B13,0),"never")</f>
        <v/>
      </c>
      <c r="C35" s="8">
        <f>IF(C13&gt;0,ROUNDUP('Inputs'!$B$50/C13,0),"never")</f>
        <v/>
      </c>
      <c r="D35" s="8">
        <f>IF(D13&gt;0,ROUNDUP('Inputs'!$B$50/D13,0),"never")</f>
        <v/>
      </c>
      <c r="E35" s="8">
        <f>IF(E13&gt;0,ROUNDUP('Inputs'!$B$50/E13,0),"never")</f>
        <v/>
      </c>
      <c r="F35" s="5" t="inlineStr">
        <is>
          <t>$2,000 ÷ hardware profit per unit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3" customWidth="1" min="3" max="3"/>
    <col width="13" customWidth="1" min="4" max="4"/>
    <col width="13" customWidth="1" min="5" max="5"/>
    <col width="100" customWidth="1" min="6" max="6"/>
  </cols>
  <sheetData>
    <row r="1">
      <c r="A1" s="1" t="inlineStr">
        <is>
          <t>Four versions at 10 / 100 / 1,000: e-paper or LCD, 150 mAh or 1,200-1,500 mAh battery</t>
        </is>
      </c>
      <c r="B1" s="2" t="n"/>
      <c r="C1" s="2" t="n"/>
      <c r="D1" s="2" t="n"/>
      <c r="E1" s="2" t="n"/>
      <c r="F1" s="2" t="n"/>
    </row>
    <row r="2">
      <c r="A2" s="3" t="inlineStr">
        <is>
          <t>Starts from the e-paper cost on 'Unit cost' and adds only the differences (each difference also carries that column's scrap %). LCD = v15-LCD board (hardware/stage15_lcd.md): 1.9" 170×320 IPS ST7789 30-pin panel instead of the 2.13" e-paper. Big battery = Adafruit #258 1,200 mAh at 10, Alibaba 504060 ~1,500 mAh at 100+ (enclosure/final_assembly/battery_upgrade.md): needs the custom shell pocket (70 × 41 × 5.4 mm) or a knockoff with room (KNOCKOFF_SHELL_PLAN.md K-D7/K-S5).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#</t>
        </is>
      </c>
      <c r="B4" s="4" t="inlineStr">
        <is>
          <t>Item</t>
        </is>
      </c>
      <c r="C4" s="4" t="inlineStr">
        <is>
          <t>10 units</t>
        </is>
      </c>
      <c r="D4" s="4" t="inlineStr">
        <is>
          <t>100 units</t>
        </is>
      </c>
      <c r="E4" s="4" t="inlineStr">
        <is>
          <t>1,000 units</t>
        </is>
      </c>
      <c r="F4" s="4" t="inlineStr">
        <is>
          <t>Source / notes</t>
        </is>
      </c>
    </row>
    <row r="5">
      <c r="A5" s="9" t="inlineStr">
        <is>
          <t>Inputs that differ by version</t>
        </is>
      </c>
      <c r="B5" s="2" t="n"/>
      <c r="C5" s="2" t="n"/>
      <c r="D5" s="2" t="n"/>
      <c r="E5" s="2" t="n"/>
      <c r="F5" s="2" t="n"/>
    </row>
    <row r="6">
      <c r="A6" s="2" t="n"/>
      <c r="B6" s="5" t="inlineStr">
        <is>
          <t>E-paper panel (from 'Unit cost')</t>
        </is>
      </c>
      <c r="C6" s="6">
        <f>'Unit cost'!D11</f>
        <v/>
      </c>
      <c r="D6" s="6">
        <f>'Unit cost'!E11</f>
        <v/>
      </c>
      <c r="E6" s="6">
        <f>'Unit cost'!F11</f>
        <v/>
      </c>
      <c r="F6" s="14" t="inlineStr">
        <is>
          <t>Unit cost row 4.</t>
        </is>
      </c>
    </row>
    <row r="7">
      <c r="A7" s="2" t="n"/>
      <c r="B7" s="5" t="inlineStr">
        <is>
          <t>LCD panel price at 10: BuyDisplay ER-TFT019-1 (no touch, datasheet-verified)</t>
        </is>
      </c>
      <c r="C7" s="13" t="n">
        <v>6.22</v>
      </c>
      <c r="D7" s="2" t="n"/>
      <c r="E7" s="2" t="n"/>
      <c r="F7" s="14" t="inlineStr">
        <is>
          <t>Given 2026-10-08 (verification/14, LCD_PANEL_OPTIONS.md): ~$6-7 each, $6.22 @10, $5.71 @100.</t>
        </is>
      </c>
    </row>
    <row r="8">
      <c r="A8" s="2" t="n"/>
      <c r="B8" s="5" t="inlineStr">
        <is>
          <t>BuyDisplay shipping per order</t>
        </is>
      </c>
      <c r="C8" s="13" t="n">
        <v>12</v>
      </c>
      <c r="D8" s="2" t="n"/>
      <c r="E8" s="2" t="n"/>
      <c r="F8" s="14" t="inlineStr">
        <is>
          <t>Estimate, not quoted: check at checkout and replace.</t>
        </is>
      </c>
    </row>
    <row r="9">
      <c r="A9" s="2" t="n"/>
      <c r="B9" s="5" t="inlineStr">
        <is>
          <t>LCD panel price at 100 / 1,000 (Alibaba / panel maker)</t>
        </is>
      </c>
      <c r="C9" s="2" t="n"/>
      <c r="D9" s="13" t="n">
        <v>2.5</v>
      </c>
      <c r="E9" s="13" t="n">
        <v>2.3</v>
      </c>
      <c r="F9" s="14" t="inlineStr">
        <is>
          <t>hardware/production/lcd_suppliers.json (2026-10-08): Alibaba, Zhengzhou Zhongjingyuan (ZJY) ST7789V3 30-pin, $2.50 @100, $2.30 @1,000, MOQ 2 (prices from search snippets; confirm drawing + pin table and get a written quote). Sample: Shenzhen Goldenmorning T190X7-C30-01 $1.85-2.50. No listing gave a short-tail FPC price.</t>
        </is>
      </c>
    </row>
    <row r="10">
      <c r="A10" s="2" t="n"/>
      <c r="B10" s="5" t="inlineStr">
        <is>
          <t>LCD panel per unit</t>
        </is>
      </c>
      <c r="C10" s="6">
        <f>C7+C8/'Unit cost'!D$5</f>
        <v/>
      </c>
      <c r="D10" s="6">
        <f>D9</f>
        <v/>
      </c>
      <c r="E10" s="6">
        <f>E9</f>
        <v/>
      </c>
      <c r="F10" s="14" t="inlineStr">
        <is>
          <t>10: BuyDisplay price + one shipping charge shared by the batch. 100/1,000: the line above (Alibaba after a sample check).</t>
        </is>
      </c>
    </row>
    <row r="11">
      <c r="A11" s="2" t="n"/>
      <c r="B11" s="5" t="inlineStr">
        <is>
          <t>v15 PCBA parts change per board (added − removed)</t>
        </is>
      </c>
      <c r="C11" s="6">
        <f>'Inputs'!$B$45-'Inputs'!$B$44</f>
        <v/>
      </c>
      <c r="D11" s="6">
        <f>'Inputs'!$B$45-'Inputs'!$B$44</f>
        <v/>
      </c>
      <c r="E11" s="6">
        <f>'Inputs'!$B$45-'Inputs'!$B$44</f>
        <v/>
      </c>
      <c r="F11" s="14" t="inlineStr">
        <is>
          <t>Inputs: v15-LCD board change.</t>
        </is>
      </c>
    </row>
    <row r="12">
      <c r="A12" s="2" t="n"/>
      <c r="B12" s="5" t="inlineStr">
        <is>
          <t>v15 extended-part fee change per board</t>
        </is>
      </c>
      <c r="C12" s="6">
        <f>'Inputs'!$B$46*'Inputs'!$B$36/'Unit cost'!D$5</f>
        <v/>
      </c>
      <c r="D12" s="6">
        <f>'Inputs'!$B$46*'Inputs'!$B$36/'Unit cost'!E$5</f>
        <v/>
      </c>
      <c r="E12" s="6">
        <f>'Inputs'!$B$46*'Inputs'!$B$36/'Unit cost'!F$5</f>
        <v/>
      </c>
      <c r="F12" s="14" t="inlineStr">
        <is>
          <t>types change × $3 per order ÷ batch.</t>
        </is>
      </c>
    </row>
    <row r="13">
      <c r="A13" s="2" t="n"/>
      <c r="B13" s="5" t="inlineStr">
        <is>
          <t>150 mAh battery + its DG surcharge (from 'Unit cost')</t>
        </is>
      </c>
      <c r="C13" s="6">
        <f>'Unit cost'!D12+'Unit cost'!D13</f>
        <v/>
      </c>
      <c r="D13" s="6">
        <f>'Unit cost'!E12+'Unit cost'!E13</f>
        <v/>
      </c>
      <c r="E13" s="6">
        <f>'Unit cost'!F12+'Unit cost'!F13</f>
        <v/>
      </c>
      <c r="F13" s="14" t="inlineStr">
        <is>
          <t>Unit cost rows 5-6.</t>
        </is>
      </c>
    </row>
    <row r="14">
      <c r="A14" s="2" t="n"/>
      <c r="B14" s="5" t="inlineStr">
        <is>
          <t>1,200-1,500 mAh battery</t>
        </is>
      </c>
      <c r="C14" s="13" t="n">
        <v>9.949999999999999</v>
      </c>
      <c r="D14" s="13" t="n">
        <v>4</v>
      </c>
      <c r="E14" s="13" t="n">
        <v>3</v>
      </c>
      <c r="F14" s="14" t="inlineStr">
        <is>
          <t>10: Adafruit #258 1,200 mAh $9.95 (battery_upgrade.md). 100/1,000: Alibaba 504060 ~1,500 mAh ~$3-5 at MOQ (estimate). Must come with UN38.3 in the seller's name.</t>
        </is>
      </c>
    </row>
    <row r="15">
      <c r="A15" s="2" t="n"/>
      <c r="B15" s="5" t="inlineStr">
        <is>
          <t>Its dangerous-goods freight surcharge</t>
        </is>
      </c>
      <c r="C15" s="13" t="n">
        <v>0</v>
      </c>
      <c r="D15" s="13" t="n">
        <v>1.2</v>
      </c>
      <c r="E15" s="13" t="n">
        <v>0.5</v>
      </c>
      <c r="F15" s="14" t="inlineStr">
        <is>
          <t>Estimate: ~5.5 Wh cell, heavier than the 150 mAh one (UN3481). At 10 it ships ground from Adafruit (in the price).</t>
        </is>
      </c>
    </row>
    <row r="16">
      <c r="A16" s="2" t="n"/>
      <c r="B16" s="5" t="inlineStr">
        <is>
          <t>Longer JST-PH lead / extension (the pocket is under the keypad, ~150 mm lead)</t>
        </is>
      </c>
      <c r="C16" s="13" t="n">
        <v>0.5</v>
      </c>
      <c r="D16" s="13" t="n">
        <v>0.25</v>
      </c>
      <c r="E16" s="13" t="n">
        <v>0.15</v>
      </c>
      <c r="F16" s="14" t="inlineStr">
        <is>
          <t>Estimate. Also R2 20 k → 4.7 k on the board for a ~3 h charge (one resistor, no cost change).</t>
        </is>
      </c>
    </row>
    <row r="17">
      <c r="A17" s="2" t="n"/>
      <c r="B17" s="2" t="n"/>
      <c r="C17" s="2" t="n"/>
      <c r="D17" s="2" t="n"/>
      <c r="E17" s="2" t="n"/>
      <c r="F17" s="2" t="n"/>
    </row>
    <row r="18">
      <c r="A18" s="9" t="inlineStr">
        <is>
          <t>Differences per unit (incl. scrap %)</t>
        </is>
      </c>
      <c r="B18" s="2" t="n"/>
      <c r="C18" s="2" t="n"/>
      <c r="D18" s="2" t="n"/>
      <c r="E18" s="2" t="n"/>
      <c r="F18" s="2" t="n"/>
    </row>
    <row r="19">
      <c r="A19" s="2" t="n"/>
      <c r="B19" s="5" t="inlineStr">
        <is>
          <t>LCD instead of e-paper</t>
        </is>
      </c>
      <c r="C19" s="6">
        <f>(C10-C6+C11+C12)*(1+'Unit cost'!D22)</f>
        <v/>
      </c>
      <c r="D19" s="6">
        <f>(D10-D6+D11+D12)*(1+'Unit cost'!E22)</f>
        <v/>
      </c>
      <c r="E19" s="6">
        <f>(E10-E6+E11+E12)*(1+'Unit cost'!F22)</f>
        <v/>
      </c>
      <c r="F19" s="14" t="inlineStr">
        <is>
          <t>(panel − e-paper + board change) × (1 + scrap %).</t>
        </is>
      </c>
    </row>
    <row r="20">
      <c r="A20" s="2" t="n"/>
      <c r="B20" s="5" t="inlineStr">
        <is>
          <t>Big battery instead of 150 mAh</t>
        </is>
      </c>
      <c r="C20" s="6">
        <f>(C14+C15+C16-C13)*(1+'Unit cost'!D22)</f>
        <v/>
      </c>
      <c r="D20" s="6">
        <f>(D14+D15+D16-D13)*(1+'Unit cost'!E22)</f>
        <v/>
      </c>
      <c r="E20" s="6">
        <f>(E14+E15+E16-E13)*(1+'Unit cost'!F22)</f>
        <v/>
      </c>
      <c r="F20" s="14" t="inlineStr">
        <is>
          <t>(big cell + its DG + lead − small cell − its DG) × (1 + scrap %).</t>
        </is>
      </c>
    </row>
    <row r="21">
      <c r="A21" s="2" t="n"/>
      <c r="B21" s="2" t="n"/>
      <c r="C21" s="2" t="n"/>
      <c r="D21" s="2" t="n"/>
      <c r="E21" s="2" t="n"/>
      <c r="F21" s="2" t="n"/>
    </row>
    <row r="22">
      <c r="A22" s="9" t="inlineStr">
        <is>
          <t>Results by version</t>
        </is>
      </c>
      <c r="B22" s="2" t="n"/>
      <c r="C22" s="2" t="n"/>
      <c r="D22" s="2" t="n"/>
      <c r="E22" s="2" t="n"/>
      <c r="F22" s="2" t="n"/>
    </row>
    <row r="23">
      <c r="A23" s="21" t="n"/>
      <c r="B23" s="21" t="inlineStr">
        <is>
          <t>Version</t>
        </is>
      </c>
      <c r="C23" s="21" t="inlineStr">
        <is>
          <t>10 units</t>
        </is>
      </c>
      <c r="D23" s="21" t="inlineStr">
        <is>
          <t>100 units</t>
        </is>
      </c>
      <c r="E23" s="21" t="inlineStr">
        <is>
          <t>1,000 units</t>
        </is>
      </c>
      <c r="F23" s="2" t="n"/>
    </row>
    <row r="24">
      <c r="A24" s="2" t="n"/>
      <c r="B24" s="9" t="inlineStr">
        <is>
          <t>Cost per unit before selling-legally costs</t>
        </is>
      </c>
      <c r="C24" s="2" t="n"/>
      <c r="D24" s="2" t="n"/>
      <c r="E24" s="2" t="n"/>
      <c r="F24" s="2" t="n"/>
    </row>
    <row r="25">
      <c r="A25" s="2" t="n"/>
      <c r="B25" s="5" t="inlineStr">
        <is>
          <t>E-paper, 150 mAh (= 'Unit cost')</t>
        </is>
      </c>
      <c r="C25" s="6">
        <f>'Unit cost'!$D$37</f>
        <v/>
      </c>
      <c r="D25" s="6">
        <f>'Unit cost'!$E$37</f>
        <v/>
      </c>
      <c r="E25" s="6">
        <f>'Unit cost'!$F$37</f>
        <v/>
      </c>
      <c r="F25" s="2" t="n"/>
    </row>
    <row r="26">
      <c r="A26" s="2" t="n"/>
      <c r="B26" s="5" t="inlineStr">
        <is>
          <t>LCD, 150 mAh (v15-LCD)</t>
        </is>
      </c>
      <c r="C26" s="22">
        <f>'Unit cost'!$D$37+C19</f>
        <v/>
      </c>
      <c r="D26" s="22">
        <f>'Unit cost'!$E$37+D19</f>
        <v/>
      </c>
      <c r="E26" s="22">
        <f>'Unit cost'!$F$37+E19</f>
        <v/>
      </c>
      <c r="F26" s="2" t="n"/>
    </row>
    <row r="27">
      <c r="A27" s="2" t="n"/>
      <c r="B27" s="5" t="inlineStr">
        <is>
          <t>E-paper, 1,200-1,500 mAh</t>
        </is>
      </c>
      <c r="C27" s="6">
        <f>'Unit cost'!$D$37+C20</f>
        <v/>
      </c>
      <c r="D27" s="6">
        <f>'Unit cost'!$E$37+D20</f>
        <v/>
      </c>
      <c r="E27" s="6">
        <f>'Unit cost'!$F$37+E20</f>
        <v/>
      </c>
      <c r="F27" s="2" t="n"/>
    </row>
    <row r="28">
      <c r="A28" s="2" t="n"/>
      <c r="B28" s="5" t="inlineStr">
        <is>
          <t>LCD, 1,200-1,500 mAh (the long-term target)</t>
        </is>
      </c>
      <c r="C28" s="6">
        <f>'Unit cost'!$D$37+C19+C20</f>
        <v/>
      </c>
      <c r="D28" s="6">
        <f>'Unit cost'!$E$37+D19+D20</f>
        <v/>
      </c>
      <c r="E28" s="6">
        <f>'Unit cost'!$F$37+E19+E20</f>
        <v/>
      </c>
      <c r="F28" s="2" t="n"/>
    </row>
    <row r="29">
      <c r="A29" s="2" t="n"/>
      <c r="B29" s="9" t="inlineStr">
        <is>
          <t>Cost per unit incl. selling-legally costs (FCC, lawyer, LLC, trademark, insurance)</t>
        </is>
      </c>
      <c r="C29" s="2" t="n"/>
      <c r="D29" s="2" t="n"/>
      <c r="E29" s="2" t="n"/>
      <c r="F29" s="2" t="n"/>
    </row>
    <row r="30">
      <c r="A30" s="2" t="n"/>
      <c r="B30" s="5" t="inlineStr">
        <is>
          <t>E-paper, 150 mAh (= 'Unit cost')</t>
        </is>
      </c>
      <c r="C30" s="6">
        <f>'Unit cost'!$D$40</f>
        <v/>
      </c>
      <c r="D30" s="6">
        <f>'Unit cost'!$E$40</f>
        <v/>
      </c>
      <c r="E30" s="6">
        <f>'Unit cost'!$F$40</f>
        <v/>
      </c>
      <c r="F30" s="2" t="n"/>
    </row>
    <row r="31">
      <c r="A31" s="2" t="n"/>
      <c r="B31" s="5" t="inlineStr">
        <is>
          <t>LCD, 150 mAh (v15-LCD)</t>
        </is>
      </c>
      <c r="C31" s="6">
        <f>'Unit cost'!$D$40+C19</f>
        <v/>
      </c>
      <c r="D31" s="6">
        <f>'Unit cost'!$E$40+D19</f>
        <v/>
      </c>
      <c r="E31" s="6">
        <f>'Unit cost'!$F$40+E19</f>
        <v/>
      </c>
      <c r="F31" s="2" t="n"/>
    </row>
    <row r="32">
      <c r="A32" s="2" t="n"/>
      <c r="B32" s="5" t="inlineStr">
        <is>
          <t>E-paper, 1,200-1,500 mAh</t>
        </is>
      </c>
      <c r="C32" s="6">
        <f>'Unit cost'!$D$40+C20</f>
        <v/>
      </c>
      <c r="D32" s="6">
        <f>'Unit cost'!$E$40+D20</f>
        <v/>
      </c>
      <c r="E32" s="6">
        <f>'Unit cost'!$F$40+E20</f>
        <v/>
      </c>
      <c r="F32" s="2" t="n"/>
    </row>
    <row r="33">
      <c r="A33" s="2" t="n"/>
      <c r="B33" s="5" t="inlineStr">
        <is>
          <t>LCD, 1,200-1,500 mAh (the long-term target)</t>
        </is>
      </c>
      <c r="C33" s="6">
        <f>'Unit cost'!$D$40+C19+C20</f>
        <v/>
      </c>
      <c r="D33" s="6">
        <f>'Unit cost'!$E$40+D19+D20</f>
        <v/>
      </c>
      <c r="E33" s="6">
        <f>'Unit cost'!$F$40+E19+E20</f>
        <v/>
      </c>
      <c r="F33" s="2" t="n"/>
    </row>
    <row r="34">
      <c r="A34" s="2" t="n"/>
      <c r="B34" s="9" t="inlineStr">
        <is>
          <t>Hardware profit per $225 unit (same fees, shipping, warranty, free-month API as 'Margins &amp; payback')</t>
        </is>
      </c>
      <c r="C34" s="2" t="n"/>
      <c r="D34" s="2" t="n"/>
      <c r="E34" s="2" t="n"/>
      <c r="F34" s="2" t="n"/>
    </row>
    <row r="35">
      <c r="A35" s="2" t="n"/>
      <c r="B35" s="5" t="inlineStr">
        <is>
          <t>E-paper, 150 mAh (= 'Unit cost')</t>
        </is>
      </c>
      <c r="C35" s="6">
        <f>'Margins &amp; payback'!C7-'Margins &amp; payback'!C8-'Margins &amp; payback'!C9-'Margins &amp; payback'!C10-'Margins &amp; payback'!C11-C30</f>
        <v/>
      </c>
      <c r="D35" s="6">
        <f>'Margins &amp; payback'!D7-'Margins &amp; payback'!D8-'Margins &amp; payback'!D9-'Margins &amp; payback'!D10-'Margins &amp; payback'!D11-D30</f>
        <v/>
      </c>
      <c r="E35" s="6">
        <f>'Margins &amp; payback'!E7-'Margins &amp; payback'!E8-'Margins &amp; payback'!E9-'Margins &amp; payback'!E10-'Margins &amp; payback'!E11-E30</f>
        <v/>
      </c>
      <c r="F35" s="2" t="n"/>
    </row>
    <row r="36">
      <c r="A36" s="2" t="n"/>
      <c r="B36" s="5" t="inlineStr">
        <is>
          <t>LCD, 150 mAh (v15-LCD)</t>
        </is>
      </c>
      <c r="C36" s="6">
        <f>'Margins &amp; payback'!C7-'Margins &amp; payback'!C8-'Margins &amp; payback'!C9-'Margins &amp; payback'!C10-'Margins &amp; payback'!C11-C31</f>
        <v/>
      </c>
      <c r="D36" s="6">
        <f>'Margins &amp; payback'!D7-'Margins &amp; payback'!D8-'Margins &amp; payback'!D9-'Margins &amp; payback'!D10-'Margins &amp; payback'!D11-D31</f>
        <v/>
      </c>
      <c r="E36" s="6">
        <f>'Margins &amp; payback'!E7-'Margins &amp; payback'!E8-'Margins &amp; payback'!E9-'Margins &amp; payback'!E10-'Margins &amp; payback'!E11-E31</f>
        <v/>
      </c>
      <c r="F36" s="2" t="n"/>
    </row>
    <row r="37">
      <c r="A37" s="2" t="n"/>
      <c r="B37" s="5" t="inlineStr">
        <is>
          <t>E-paper, 1,200-1,500 mAh</t>
        </is>
      </c>
      <c r="C37" s="6">
        <f>'Margins &amp; payback'!C7-'Margins &amp; payback'!C8-'Margins &amp; payback'!C9-'Margins &amp; payback'!C10-'Margins &amp; payback'!C11-C32</f>
        <v/>
      </c>
      <c r="D37" s="6">
        <f>'Margins &amp; payback'!D7-'Margins &amp; payback'!D8-'Margins &amp; payback'!D9-'Margins &amp; payback'!D10-'Margins &amp; payback'!D11-D32</f>
        <v/>
      </c>
      <c r="E37" s="6">
        <f>'Margins &amp; payback'!E7-'Margins &amp; payback'!E8-'Margins &amp; payback'!E9-'Margins &amp; payback'!E10-'Margins &amp; payback'!E11-E32</f>
        <v/>
      </c>
      <c r="F37" s="2" t="n"/>
    </row>
    <row r="38">
      <c r="A38" s="2" t="n"/>
      <c r="B38" s="5" t="inlineStr">
        <is>
          <t>LCD, 1,200-1,500 mAh (the long-term target)</t>
        </is>
      </c>
      <c r="C38" s="6">
        <f>'Margins &amp; payback'!C7-'Margins &amp; payback'!C8-'Margins &amp; payback'!C9-'Margins &amp; payback'!C10-'Margins &amp; payback'!C11-C33</f>
        <v/>
      </c>
      <c r="D38" s="6">
        <f>'Margins &amp; payback'!D7-'Margins &amp; payback'!D8-'Margins &amp; payback'!D9-'Margins &amp; payback'!D10-'Margins &amp; payback'!D11-D33</f>
        <v/>
      </c>
      <c r="E38" s="6">
        <f>'Margins &amp; payback'!E7-'Margins &amp; payback'!E8-'Margins &amp; payback'!E9-'Margins &amp; payback'!E10-'Margins &amp; payback'!E11-E33</f>
        <v/>
      </c>
      <c r="F38" s="2" t="n"/>
    </row>
    <row r="39">
      <c r="A39" s="2" t="n"/>
      <c r="B39" s="9" t="inlineStr">
        <is>
          <t>Variable cost per unit (no one-time costs), for the cash budget</t>
        </is>
      </c>
      <c r="C39" s="2" t="n"/>
      <c r="D39" s="2" t="n"/>
      <c r="E39" s="2" t="n"/>
      <c r="F39" s="2" t="n"/>
    </row>
    <row r="40">
      <c r="A40" s="2" t="n"/>
      <c r="B40" s="5" t="inlineStr">
        <is>
          <t>E-paper, 150 mAh (= 'Unit cost')</t>
        </is>
      </c>
      <c r="C40" s="6">
        <f>'Unit cost'!D25</f>
        <v/>
      </c>
      <c r="D40" s="6">
        <f>'Unit cost'!E25</f>
        <v/>
      </c>
      <c r="E40" s="6">
        <f>'Unit cost'!F25</f>
        <v/>
      </c>
      <c r="F40" s="2" t="n"/>
    </row>
    <row r="41">
      <c r="A41" s="2" t="n"/>
      <c r="B41" s="5" t="inlineStr">
        <is>
          <t>LCD, 150 mAh (v15-LCD)</t>
        </is>
      </c>
      <c r="C41" s="6">
        <f>'Unit cost'!D25+C19</f>
        <v/>
      </c>
      <c r="D41" s="6">
        <f>'Unit cost'!E25+D19</f>
        <v/>
      </c>
      <c r="E41" s="6">
        <f>'Unit cost'!F25+E19</f>
        <v/>
      </c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3" t="inlineStr">
        <is>
          <t>Battery life (stage15_lcd.md §3): LCD screen-on ≈ 80-90 mA → ~1.5 h on 150 mAh (charge every 1-2 days), 13-17 h on 1,200-1,500 mAh. The e-paper draws almost nothing between refreshes (~3 h screen-on, weekly charging). That is why the big cell matters for the LCD version.</t>
        </is>
      </c>
      <c r="B43" s="2" t="n"/>
      <c r="C43" s="2" t="n"/>
      <c r="D43" s="2" t="n"/>
      <c r="E43" s="2" t="n"/>
      <c r="F4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8" customWidth="1" min="3" max="3"/>
    <col width="13" customWidth="1" min="4" max="4"/>
    <col width="95" customWidth="1" min="5" max="5"/>
  </cols>
  <sheetData>
    <row r="1">
      <c r="A1" s="1" t="inlineStr">
        <is>
          <t>Where the $2,000 goes (supply budget), in order</t>
        </is>
      </c>
      <c r="B1" s="2" t="n"/>
      <c r="C1" s="2" t="n"/>
      <c r="D1" s="2" t="n"/>
      <c r="E1" s="2" t="n"/>
    </row>
    <row r="2">
      <c r="A2" s="3" t="inlineStr">
        <is>
          <t>Cash actually leaving your account, in the order of the 2026-10-08 plan. The 2 Casio shells you own are not cash. v14 JLCPCB was ordered 10/8; v15-LCD is verified ORDER (review 14) and is next; nothing else is bought yet.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#</t>
        </is>
      </c>
      <c r="B4" s="4" t="inlineStr">
        <is>
          <t>What</t>
        </is>
      </c>
      <c r="C4" s="4" t="inlineStr">
        <is>
          <t>When</t>
        </is>
      </c>
      <c r="D4" s="4" t="inlineStr">
        <is>
          <t>Amount</t>
        </is>
      </c>
      <c r="E4" s="4" t="inlineStr">
        <is>
          <t>Source / notes</t>
        </is>
      </c>
    </row>
    <row r="5">
      <c r="A5" s="5" t="n">
        <v>1</v>
      </c>
      <c r="B5" s="14" t="inlineStr">
        <is>
          <t>v14 JLCPCB order: 5 PCBs, 5 assembled, delivered (DHL + ~35 % duty) [2026-10-11: NOT ORDERED - v14 was never ordered]</t>
        </is>
      </c>
      <c r="C5" s="5" t="inlineStr">
        <is>
          <t>Paid 10/8</t>
        </is>
      </c>
      <c r="D5" s="13" t="n">
        <v>275</v>
      </c>
      <c r="E5" s="14" t="inlineStr">
        <is>
          <t>Shopping List rows 1-2: ≈ $220 for 2 assembled + ≈ $55 for 5 assembled (ranges $200-240 and $50-60). Replace with the real total.</t>
        </is>
      </c>
    </row>
    <row r="6">
      <c r="A6" s="5" t="n">
        <v>2</v>
      </c>
      <c r="B6" s="14" t="inlineStr">
        <is>
          <t>5 testers: 3 Casio shells, cameras, screens, batteries, magnet pieces, cables, shipping, supplies (option C)</t>
        </is>
      </c>
      <c r="C6" s="5" t="inlineStr">
        <is>
          <t>Now, before boards land</t>
        </is>
      </c>
      <c r="D6" s="13" t="n">
        <v>388.97</v>
      </c>
      <c r="E6" s="14" t="inlineStr">
        <is>
          <t>AI_Calculator_Shopping_List.xlsx option C total $663.97 minus the JLCPCB order. Option B would be ≈ $92 less, option A ≈ $2 less.</t>
        </is>
      </c>
    </row>
    <row r="7">
      <c r="A7" s="5" t="n">
        <v>3</v>
      </c>
      <c r="B7" s="14" t="inlineStr">
        <is>
          <t>v15-LCD prototype panels: 3 × BuyDisplay ER-TFT019-1 (no touch) + shipping</t>
        </is>
      </c>
      <c r="C7" s="5" t="inlineStr">
        <is>
          <t>Now, with the v15 order</t>
        </is>
      </c>
      <c r="D7" s="13" t="n">
        <v>32.25</v>
      </c>
      <c r="E7" s="14" t="inlineStr">
        <is>
          <t>Shopping List sheet 'v15-LCD prototype' rows 1-2: 3 × ~$6.75 + ~$12 shipping (estimate). Bench checks at arrival: diode test, tail length, backlight current, 3.3 V.</t>
        </is>
      </c>
    </row>
    <row r="8">
      <c r="A8" s="5" t="n">
        <v>4</v>
      </c>
      <c r="B8" s="14" t="inlineStr">
        <is>
          <t>v15-LCD JLCPCB order (verified ORDER, review 14): 5 PCBs, 5 assembled, delivered</t>
        </is>
      </c>
      <c r="C8" s="5" t="inlineStr">
        <is>
          <t>Now</t>
        </is>
      </c>
      <c r="D8" s="6">
        <f>'Inputs'!$B$47</f>
        <v/>
      </c>
      <c r="E8" s="14" t="inlineStr">
        <is>
          <t>Inputs: v15 order estimate. Files hardware/fab_v15_lcd/, steps hardware/ORDER_WALKTHROUGH_v15_lcd.md.</t>
        </is>
      </c>
    </row>
    <row r="9">
      <c r="A9" s="5" t="n">
        <v>5</v>
      </c>
      <c r="B9" s="14" t="inlineStr">
        <is>
          <t>Knockoff shell samples: 4 clones, 2 sellers (KNOCKOFF_SHELL_PLAN.md §1)</t>
        </is>
      </c>
      <c r="C9" s="5" t="inlineStr">
        <is>
          <t>During tester feedback</t>
        </is>
      </c>
      <c r="D9" s="13" t="n">
        <v>60</v>
      </c>
      <c r="E9" s="14" t="inlineStr">
        <is>
          <t>Alibaba pair $40-60 incl. DHL + AliExpress/Amazon pair $10-16 (estimate).</t>
        </is>
      </c>
    </row>
    <row r="10">
      <c r="A10" s="5" t="n">
        <v>6</v>
      </c>
      <c r="B10" s="14" t="inlineStr">
        <is>
          <t>Other supplier samples for bulk (camera, bare LCD panels, 150 mAh + 1,200-1,500 mAh cells, magnet pair + cable)</t>
        </is>
      </c>
      <c r="C10" s="5" t="inlineStr">
        <is>
          <t>After shells pass</t>
        </is>
      </c>
      <c r="D10" s="13" t="n">
        <v>90</v>
      </c>
      <c r="E10" s="14" t="inlineStr">
        <is>
          <t>Alibaba sheet row 16 total $150 minus the shells (estimate).</t>
        </is>
      </c>
    </row>
    <row r="11">
      <c r="A11" s="5" t="n">
        <v>7</v>
      </c>
      <c r="B11" s="14" t="inlineStr">
        <is>
          <t>v15-LCD pilot in knockoff shells: the remaining boards + all parts, freight, scrap</t>
        </is>
      </c>
      <c r="C11" s="5" t="inlineStr">
        <is>
          <t>After the v15 boards pass the bench checks</t>
        </is>
      </c>
      <c r="D11" s="6">
        <f>'Inputs'!$B$52*'Versions'!$C$41-MIN('Inputs'!$B$52,'Inputs'!$B$48)*'Unit cost'!$D$8</f>
        <v/>
      </c>
      <c r="E11" s="14" t="inlineStr">
        <is>
          <t>Pilot size (Inputs) × LCD variable cost at 10 ('Versions'), minus the boards re-used from the v15 order × the $18 board cost at 10 ('Unit cost' row 1). Includes $8/unit freight and duty.</t>
        </is>
      </c>
    </row>
    <row r="12">
      <c r="A12" s="5" t="n">
        <v>8</v>
      </c>
      <c r="B12" s="14" t="inlineStr">
        <is>
          <t>Proxy hosting, first 3 months</t>
        </is>
      </c>
      <c r="C12" s="5" t="inlineStr">
        <is>
          <t>At beta</t>
        </is>
      </c>
      <c r="D12" s="6">
        <f>3*'Inputs'!$B$18</f>
        <v/>
      </c>
      <c r="E12" s="14" t="inlineStr">
        <is>
          <t>Inputs: server $/month × 3.</t>
        </is>
      </c>
    </row>
    <row r="13">
      <c r="A13" s="5" t="n">
        <v>9</v>
      </c>
      <c r="B13" s="14" t="inlineStr">
        <is>
          <t>Claude API for the testers' and pilot users' free month</t>
        </is>
      </c>
      <c r="C13" s="5" t="inlineStr">
        <is>
          <t>At beta</t>
        </is>
      </c>
      <c r="D13" s="6">
        <f>('Inputs'!$B$51+'Inputs'!$B$52)*'API cost'!$B$17</f>
        <v/>
      </c>
      <c r="E13" s="14" t="inlineStr">
        <is>
          <t>(testers + pilot) × 1 month at the typical rate of the model chosen on Inputs.</t>
        </is>
      </c>
    </row>
    <row r="14">
      <c r="A14" s="5" t="n">
        <v>10</v>
      </c>
      <c r="B14" s="14" t="inlineStr">
        <is>
          <t>Lawyer / IP clinic: trade-dress check before any unit leaves the house</t>
        </is>
      </c>
      <c r="C14" s="5" t="inlineStr">
        <is>
          <t>Before testers go out</t>
        </is>
      </c>
      <c r="D14" s="13" t="n">
        <v>150</v>
      </c>
      <c r="E14" s="14" t="inlineStr">
        <is>
          <t>KNOCKOFF_SHELL_PLAN.md §5. University clinic / SCORE can be $0; private $200-500.</t>
        </is>
      </c>
    </row>
    <row r="15">
      <c r="A15" s="5" t="n">
        <v>11</v>
      </c>
      <c r="B15" s="14" t="inlineStr">
        <is>
          <t>Indiana LLC</t>
        </is>
      </c>
      <c r="C15" s="5" t="inlineStr">
        <is>
          <t>Before taking money</t>
        </is>
      </c>
      <c r="D15" s="6">
        <f>'Inputs'!$B$31</f>
        <v/>
      </c>
      <c r="E15" s="14" t="inlineStr">
        <is>
          <t>Inputs (roadmap §4).</t>
        </is>
      </c>
    </row>
    <row r="16">
      <c r="A16" s="5" t="n">
        <v>12</v>
      </c>
      <c r="B16" s="14" t="inlineStr">
        <is>
          <t>Domain + email for the link page</t>
        </is>
      </c>
      <c r="C16" s="5" t="inlineStr">
        <is>
          <t>Before beta</t>
        </is>
      </c>
      <c r="D16" s="13" t="n">
        <v>20</v>
      </c>
      <c r="E16" s="14" t="inlineStr">
        <is>
          <t>Estimate.</t>
        </is>
      </c>
    </row>
    <row r="17">
      <c r="A17" s="2" t="n"/>
      <c r="B17" s="9" t="inlineStr">
        <is>
          <t>Subtotal</t>
        </is>
      </c>
      <c r="C17" s="2" t="n"/>
      <c r="D17" s="22">
        <f>SUM(D5:D16)</f>
        <v/>
      </c>
      <c r="E17" s="2" t="n"/>
    </row>
    <row r="18">
      <c r="A18" s="2" t="n"/>
      <c r="B18" s="5" t="inlineStr">
        <is>
          <t>Contingency, % of subtotal (re-orders, a dead camera, express shipping)</t>
        </is>
      </c>
      <c r="C18" s="16" t="n">
        <v>0.1</v>
      </c>
      <c r="D18" s="6">
        <f>D17*C18</f>
        <v/>
      </c>
      <c r="E18" s="2" t="n"/>
    </row>
    <row r="19">
      <c r="A19" s="2" t="n"/>
      <c r="B19" s="9" t="inlineStr">
        <is>
          <t>TOTAL PLANNED SPEND</t>
        </is>
      </c>
      <c r="C19" s="2" t="n"/>
      <c r="D19" s="23">
        <f>D17+D18</f>
        <v/>
      </c>
      <c r="E19" s="2" t="n"/>
    </row>
    <row r="20">
      <c r="A20" s="2" t="n"/>
      <c r="B20" s="5" t="inlineStr">
        <is>
          <t>Budget</t>
        </is>
      </c>
      <c r="C20" s="2" t="n"/>
      <c r="D20" s="6">
        <f>'Inputs'!$B$50</f>
        <v/>
      </c>
      <c r="E20" s="2" t="n"/>
    </row>
    <row r="21">
      <c r="A21" s="2" t="n"/>
      <c r="B21" s="9" t="inlineStr">
        <is>
          <t>LEFT OVER (negative = over budget)</t>
        </is>
      </c>
      <c r="C21" s="2" t="n"/>
      <c r="D21" s="23">
        <f>'Inputs'!$B$50-D19</f>
        <v/>
      </c>
      <c r="E21" s="2" t="n"/>
    </row>
    <row r="22">
      <c r="A22" s="2" t="n"/>
      <c r="B22" s="2" t="n"/>
      <c r="C22" s="2" t="n"/>
      <c r="D22" s="2" t="n"/>
      <c r="E22" s="2" t="n"/>
    </row>
    <row r="23">
      <c r="A23" s="9" t="inlineStr">
        <is>
          <t>Not inside the $2,000: what the first 100 public units need</t>
        </is>
      </c>
      <c r="B23" s="2" t="n"/>
      <c r="C23" s="2" t="n"/>
      <c r="D23" s="2" t="n"/>
      <c r="E23" s="2" t="n"/>
    </row>
    <row r="24">
      <c r="A24" s="2" t="n"/>
      <c r="B24" s="5" t="inlineStr">
        <is>
          <t>100-unit batch (LCD version): variable cost × 100 + its one-time costs (samples, jig)</t>
        </is>
      </c>
      <c r="C24" s="2" t="n"/>
      <c r="D24" s="29">
        <f>('Unit cost'!E25+'Versions'!D19)*'Unit cost'!E5+'Unit cost'!E34</f>
        <v/>
      </c>
      <c r="E24" s="2" t="n"/>
    </row>
    <row r="25">
      <c r="A25" s="2" t="n"/>
      <c r="B25" s="5" t="inlineStr">
        <is>
          <t>Selling legally: FCC SDoC, lawyer, LLC, trademark, insurance</t>
        </is>
      </c>
      <c r="C25" s="2" t="n"/>
      <c r="D25" s="29">
        <f>'Inputs'!$B$60</f>
        <v/>
      </c>
      <c r="E25" s="2" t="n"/>
    </row>
    <row r="26">
      <c r="A26" s="2" t="n"/>
      <c r="B26" s="9" t="inlineStr">
        <is>
          <t>Cash needed before the first public sale</t>
        </is>
      </c>
      <c r="C26" s="2" t="n"/>
      <c r="D26" s="37">
        <f>D24+D25</f>
        <v/>
      </c>
      <c r="E26" s="2" t="n"/>
    </row>
    <row r="27">
      <c r="A27" s="2" t="n"/>
      <c r="B27" s="5" t="inlineStr">
        <is>
          <t>Pre-orders at $225 (after card fees) that fund it</t>
        </is>
      </c>
      <c r="C27" s="2" t="n"/>
      <c r="D27" s="8">
        <f>ROUNDUP((D26-MAX(0,D21))/('Inputs'!$B$6*(1-'Inputs'!$B$10)-'Inputs'!$B$11),0)</f>
        <v/>
      </c>
      <c r="E27" s="5" t="inlineStr">
        <is>
          <t>Uses any money left from the $2,000 first. Roadmap §6: take pre-orders before each step up.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70" customWidth="1" min="5" max="5"/>
  </cols>
  <sheetData>
    <row r="1">
      <c r="A1" s="1" t="inlineStr">
        <is>
          <t>Cross-checks against earlier files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4" t="inlineStr">
        <is>
          <t>Check</t>
        </is>
      </c>
      <c r="B3" s="4" t="inlineStr">
        <is>
          <t>This model</t>
        </is>
      </c>
      <c r="C3" s="4" t="inlineStr">
        <is>
          <t>Earlier figure</t>
        </is>
      </c>
      <c r="D3" s="4" t="inlineStr">
        <is>
          <t>Difference</t>
        </is>
      </c>
      <c r="E3" s="4" t="inlineStr">
        <is>
          <t>Earlier source</t>
        </is>
      </c>
    </row>
    <row r="4">
      <c r="A4" s="5" t="inlineStr">
        <is>
          <t>5 testers: cash for the batch minus the 2 owned shells' value</t>
        </is>
      </c>
      <c r="B4" s="6">
        <f>'Unit cost'!$C$41-2*'Unit cost'!C9</f>
        <v/>
      </c>
      <c r="C4" s="13" t="n">
        <v>663.97</v>
      </c>
      <c r="D4" s="6">
        <f>B4-C4</f>
        <v/>
      </c>
      <c r="E4" s="5" t="inlineStr">
        <is>
          <t>AI_Calculator_Shopping_List.xlsx option C total ($663.97)</t>
        </is>
      </c>
    </row>
    <row r="5">
      <c r="A5" s="5" t="inlineStr">
        <is>
          <t>LCD version cost per unit at 100 (before selling-legally)</t>
        </is>
      </c>
      <c r="B5" s="6">
        <f>'Versions'!$D$26</f>
        <v/>
      </c>
      <c r="C5" s="13" t="n">
        <v>42.22</v>
      </c>
      <c r="D5" s="6">
        <f>B5-C5</f>
        <v/>
      </c>
      <c r="E5" s="5" t="inlineStr">
        <is>
          <t>Alibaba_Bulk_Sourcing.xlsx 'v15-LCD cost by batch' total @100</t>
        </is>
      </c>
    </row>
    <row r="6">
      <c r="A6" s="5" t="inlineStr">
        <is>
          <t>Cost per unit at 10 (before selling-legally)</t>
        </is>
      </c>
      <c r="B6" s="6">
        <f>'Unit cost'!$D$37</f>
        <v/>
      </c>
      <c r="C6" s="13" t="n">
        <v>92</v>
      </c>
      <c r="D6" s="6">
        <f>B6-C6</f>
        <v/>
      </c>
      <c r="E6" s="5" t="inlineStr">
        <is>
          <t>Alibaba_Bulk_Sourcing.xlsx 'Cost by batch' (≈ $92)</t>
        </is>
      </c>
    </row>
    <row r="7">
      <c r="A7" s="5" t="inlineStr">
        <is>
          <t>Cost per unit at 100 (before selling-legally)</t>
        </is>
      </c>
      <c r="B7" s="6">
        <f>'Unit cost'!$E$37</f>
        <v/>
      </c>
      <c r="C7" s="13" t="n">
        <v>46</v>
      </c>
      <c r="D7" s="6">
        <f>B7-C7</f>
        <v/>
      </c>
      <c r="E7" s="5" t="inlineStr">
        <is>
          <t>Alibaba_Bulk_Sourcing.xlsx (≈ $46)</t>
        </is>
      </c>
    </row>
    <row r="8">
      <c r="A8" s="5" t="inlineStr">
        <is>
          <t>Cost per unit at 1,000 (before selling-legally)</t>
        </is>
      </c>
      <c r="B8" s="6">
        <f>'Unit cost'!$F$37</f>
        <v/>
      </c>
      <c r="C8" s="13" t="n">
        <v>34</v>
      </c>
      <c r="D8" s="6">
        <f>B8-C8</f>
        <v/>
      </c>
      <c r="E8" s="5" t="inlineStr">
        <is>
          <t>Alibaba_Bulk_Sourcing.xlsx (≈ $34)</t>
        </is>
      </c>
    </row>
    <row r="9">
      <c r="A9" s="5" t="inlineStr">
        <is>
          <t>Opus 5.5 cost per solve, no caching (roadmap §3.3)</t>
        </is>
      </c>
      <c r="B9" s="28">
        <f>(('Inputs'!$B$23)*4+2100*20)/1000000</f>
        <v/>
      </c>
      <c r="C9" s="35" t="n">
        <v>0.052</v>
      </c>
      <c r="D9" s="28">
        <f>B9-C9</f>
        <v/>
      </c>
      <c r="E9" s="5" t="inlineStr">
        <is>
          <t>LAUNCH_ROADMAP.md §3.3 (~$0.052)</t>
        </is>
      </c>
    </row>
    <row r="10">
      <c r="A10" s="5" t="inlineStr">
        <is>
          <t>Certification etc. one-time</t>
        </is>
      </c>
      <c r="B10" s="6">
        <f>'Inputs'!$B$60</f>
        <v/>
      </c>
      <c r="C10" s="13" t="n">
        <v>3500</v>
      </c>
      <c r="D10" s="6">
        <f>B10-C10</f>
        <v/>
      </c>
      <c r="E10" s="5" t="inlineStr">
        <is>
          <t>LAUNCH_ROADMAP.md §3 ('about $3.5k')</t>
        </is>
      </c>
    </row>
    <row r="11">
      <c r="A11" s="2" t="n"/>
      <c r="B11" s="2" t="n"/>
      <c r="C11" s="2" t="n"/>
      <c r="D11" s="2" t="n"/>
      <c r="E11" s="2" t="n"/>
    </row>
    <row r="12">
      <c r="A12" s="3" t="inlineStr">
        <is>
          <t>Differences come from the tester-only rows, rounding in the earlier sheet, and the cache saving on the system prompt.</t>
        </is>
      </c>
      <c r="B12" s="2" t="n"/>
      <c r="C12" s="2" t="n"/>
      <c r="D12" s="2" t="n"/>
      <c r="E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2026-10-09T01:53:29Z</dcterms:created>
  <dcterms:modified xsi:type="dcterms:W3CDTF">2026-10-12T01:33:27Z</dcterms:modified>
</cp:coreProperties>
</file>