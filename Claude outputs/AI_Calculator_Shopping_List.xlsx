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pping 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0563C1"/>
      <u val="single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F5D8A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0" fillId="0" borderId="0" pivotButton="0" quotePrefix="0" xfId="0"/>
    <xf numFmtId="164" fontId="7" fillId="0" borderId="0" pivotButton="0" quotePrefix="0" xfId="0"/>
    <xf numFmtId="164" fontId="5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lcpcb.com" TargetMode="External" Id="rId1" /><Relationship Type="http://schemas.openxmlformats.org/officeDocument/2006/relationships/hyperlink" Target="https://jlcpcb.com" TargetMode="External" Id="rId2" /><Relationship Type="http://schemas.openxmlformats.org/officeDocument/2006/relationships/hyperlink" Target="https://jlcpcb.com/help/article/us-tariff-policy-faq" TargetMode="External" Id="rId3" /><Relationship Type="http://schemas.openxmlformats.org/officeDocument/2006/relationships/hyperlink" Target="https://www.adafruit.com/product/1317" TargetMode="External" Id="rId4" /><Relationship Type="http://schemas.openxmlformats.org/officeDocument/2006/relationships/hyperlink" Target="https://www.adafruit.com/product/5358" TargetMode="External" Id="rId5" /><Relationship Type="http://schemas.openxmlformats.org/officeDocument/2006/relationships/hyperlink" Target="https://www.adafruit.com/product/5412" TargetMode="External" Id="rId6" /><Relationship Type="http://schemas.openxmlformats.org/officeDocument/2006/relationships/hyperlink" Target="https://www.adafruit.com" TargetMode="External" Id="rId7" /><Relationship Type="http://schemas.openxmlformats.org/officeDocument/2006/relationships/hyperlink" Target="https://www.waveshare.com/2.13inch-e-Paper.htm" TargetMode="External" Id="rId8" /><Relationship Type="http://schemas.openxmlformats.org/officeDocument/2006/relationships/hyperlink" Target="https://www.waveshare.com" TargetMode="External" Id="rId9" /><Relationship Type="http://schemas.openxmlformats.org/officeDocument/2006/relationships/hyperlink" Target="https://www.seeedstudio.com/catalogsearch/result/?q=OV5640%20XIAO" TargetMode="External" Id="rId10" /><Relationship Type="http://schemas.openxmlformats.org/officeDocument/2006/relationships/hyperlink" Target="https://www.seeedstudio.com" TargetMode="External" Id="rId11" /><Relationship Type="http://schemas.openxmlformats.org/officeDocument/2006/relationships/hyperlink" Target="https://www.amazon.com/s?k=kapton+tape+10mm" TargetMode="External" Id="rId12" /><Relationship Type="http://schemas.openxmlformats.org/officeDocument/2006/relationships/hyperlink" Target="https://www.amazon.com/s?k=thin+double+sided+tape+0.1mm" TargetMode="External" Id="rId13" /><Relationship Type="http://schemas.openxmlformats.org/officeDocument/2006/relationships/hyperlink" Target="https://www.amazon.com/s?k=matte+black+adhesive+vinyl+sheet" TargetMode="External" Id="rId14" /><Relationship Type="http://schemas.openxmlformats.org/officeDocument/2006/relationships/hyperlink" Target="https://www.amazon.com/s?k=99%25+isopropyl+alcohol" TargetMode="External" Id="rId15" /><Relationship Type="http://schemas.openxmlformats.org/officeDocument/2006/relationships/hyperlink" Target="https://www.amazon.com/s?k=usb-a+5v+wall+charger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34" customWidth="1" min="4" max="4"/>
    <col width="20" customWidth="1" min="5" max="5"/>
    <col width="6" customWidth="1" min="6" max="6"/>
    <col width="14" customWidth="1" min="7" max="7"/>
    <col width="13" customWidth="1" min="8" max="8"/>
    <col width="11" customWidth="1" min="9" max="9"/>
    <col width="55" customWidth="1" min="10" max="10"/>
  </cols>
  <sheetData>
    <row r="1">
      <c r="A1" s="1" t="inlineStr">
        <is>
          <t>AI Calculator v14: parts, tools and consumables to buy. Blue numbers = estimates you can edit; totals update.</t>
        </is>
      </c>
    </row>
    <row r="2">
      <c r="A2" s="2" t="inlineStr">
        <is>
          <t>Prices checked online 2026-10-03, key parts re-checked 2026-10-06 (sources in Claude outputs/LAUNCH_ROADMAP.md). Shipping and tariff are estimates. Nothing is ordered as of Tue 2026-10-06; boards land about 10–14 days door-to-door after the JLCPCB order (hardware/FAB_VENDOR_COMPARISON.md).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Vendor</t>
        </is>
      </c>
      <c r="D4" s="3" t="inlineStr">
        <is>
          <t>Link</t>
        </is>
      </c>
      <c r="E4" s="3" t="inlineStr">
        <is>
          <t>Part / SKU</t>
        </is>
      </c>
      <c r="F4" s="3" t="inlineStr">
        <is>
          <t>Qty</t>
        </is>
      </c>
      <c r="G4" s="3" t="inlineStr">
        <is>
          <t>Unit price ($)</t>
        </is>
      </c>
      <c r="H4" s="3" t="inlineStr">
        <is>
          <t>Line total ($)</t>
        </is>
      </c>
      <c r="I4" s="3" t="inlineStr">
        <is>
          <t>Order by</t>
        </is>
      </c>
      <c r="J4" s="3" t="inlineStr">
        <is>
          <t>Why / notes</t>
        </is>
      </c>
    </row>
    <row r="5">
      <c r="A5" s="4" t="n">
        <v>1</v>
      </c>
      <c r="B5" s="4" t="inlineStr">
        <is>
          <t>JLCPCB board order: 5 PCBs, 2 assembled (Standard PCBA), v14</t>
        </is>
      </c>
      <c r="C5" s="4" t="inlineStr">
        <is>
          <t>JLCPCB</t>
        </is>
      </c>
      <c r="D5" s="5" t="inlineStr">
        <is>
          <t>https://jlcpcb.com</t>
        </is>
      </c>
      <c r="E5" s="4" t="inlineStr">
        <is>
          <t>Claude outputs/ai_calc_pcb_14.zip</t>
        </is>
      </c>
      <c r="F5" s="6" t="n">
        <v>1</v>
      </c>
      <c r="G5" s="7" t="n">
        <v>145</v>
      </c>
      <c r="H5" s="8">
        <f>F5*G5</f>
        <v/>
      </c>
      <c r="I5" s="4" t="inlineStr">
        <is>
          <t>ASAP (was Mon 10/5)</t>
        </is>
      </c>
      <c r="J5" s="4" t="inlineStr">
        <is>
          <t>2-layer, 0.8 mm, ENIG. Final review estimate $135–155 before shipping. Follow hardware/ORDER_WALKTHROUGH.md. Before paying: confirm U1 ESP32-S3-MINI-1-N4R2 (C3013941) is in stock; accept no substitute.</t>
        </is>
      </c>
    </row>
    <row r="6">
      <c r="A6" s="4" t="n">
        <v>2</v>
      </c>
      <c r="B6" s="4" t="inlineStr">
        <is>
          <t>JLCPCB DHL/FedEx shipping</t>
        </is>
      </c>
      <c r="C6" s="4" t="inlineStr">
        <is>
          <t>JLCPCB checkout</t>
        </is>
      </c>
      <c r="D6" s="5" t="inlineStr">
        <is>
          <t>https://jlcpcb.com</t>
        </is>
      </c>
      <c r="E6" s="4" t="inlineStr">
        <is>
          <t>—</t>
        </is>
      </c>
      <c r="F6" s="6" t="n">
        <v>1</v>
      </c>
      <c r="G6" s="7" t="n">
        <v>30</v>
      </c>
      <c r="H6" s="8">
        <f>F6*G6</f>
        <v/>
      </c>
      <c r="I6" s="4" t="inlineStr">
        <is>
          <t>ASAP (was Mon 10/5)</t>
        </is>
      </c>
      <c r="J6" s="4" t="inlineStr">
        <is>
          <t>Pick DHL or FedEx express ($20–40, 3–6 days). Economy (7–15 days of shipping) only if express isn't offered. Estimate.</t>
        </is>
      </c>
    </row>
    <row r="7">
      <c r="A7" s="4" t="n">
        <v>3</v>
      </c>
      <c r="B7" s="4" t="inlineStr">
        <is>
          <t>US tariff collected at checkout</t>
        </is>
      </c>
      <c r="C7" s="4" t="inlineStr">
        <is>
          <t>JLCPCB checkout</t>
        </is>
      </c>
      <c r="D7" s="5" t="inlineStr">
        <is>
          <t>https://jlcpcb.com/help/article/us-tariff-policy-faq</t>
        </is>
      </c>
      <c r="E7" s="4" t="inlineStr">
        <is>
          <t>—</t>
        </is>
      </c>
      <c r="F7" s="6" t="n">
        <v>1</v>
      </c>
      <c r="G7" s="7" t="n">
        <v>50</v>
      </c>
      <c r="H7" s="8">
        <f>F7*G7</f>
        <v/>
      </c>
      <c r="I7" s="4" t="inlineStr">
        <is>
          <t>ASAP (was Mon 10/5)</t>
        </is>
      </c>
      <c r="J7" s="4" t="inlineStr">
        <is>
          <t>US import duty about 35–37.5 %, collected at checkout (de-minimis suspended since 2026-06-24). Exact amount shown at checkout. Delivered total ≈ $200–240.</t>
        </is>
      </c>
    </row>
    <row r="8">
      <c r="A8" s="4" t="n">
        <v>4</v>
      </c>
      <c r="B8" s="4" t="inlineStr">
        <is>
          <t>LiPo battery 3.7 V 150 mAh, JST-PH (26 × 19.75 × 3.8 mm)</t>
        </is>
      </c>
      <c r="C8" s="4" t="inlineStr">
        <is>
          <t>Adafruit</t>
        </is>
      </c>
      <c r="D8" s="5" t="inlineStr">
        <is>
          <t>https://www.adafruit.com/product/1317</t>
        </is>
      </c>
      <c r="E8" s="4" t="inlineStr">
        <is>
          <t>#1317</t>
        </is>
      </c>
      <c r="F8" s="6" t="n">
        <v>3</v>
      </c>
      <c r="G8" s="7" t="n">
        <v>5.95</v>
      </c>
      <c r="H8" s="8">
        <f>F8*G8</f>
        <v/>
      </c>
      <c r="I8" s="4" t="inlineStr">
        <is>
          <t>ASAP (was Mon 10/5)</t>
        </is>
      </c>
      <c r="J8" s="4" t="inlineStr">
        <is>
          <t>Switched from #1570 (100 mAh) on 10/6: 50 % more capacity, same price, fits with no grinding. Meter-check polarity before plugging in. Peel the tape on its lead to route it.</t>
        </is>
      </c>
    </row>
    <row r="9">
      <c r="A9" s="4" t="n">
        <v>5</v>
      </c>
      <c r="B9" s="4" t="inlineStr">
        <is>
          <t>Magnetic connector, 4-pin right angle (both halves)</t>
        </is>
      </c>
      <c r="C9" s="4" t="inlineStr">
        <is>
          <t>Adafruit</t>
        </is>
      </c>
      <c r="D9" s="5" t="inlineStr">
        <is>
          <t>https://www.adafruit.com/product/5358</t>
        </is>
      </c>
      <c r="E9" s="4" t="inlineStr">
        <is>
          <t>#5358</t>
        </is>
      </c>
      <c r="F9" s="6" t="n">
        <v>3</v>
      </c>
      <c r="G9" s="7" t="n">
        <v>6.5</v>
      </c>
      <c r="H9" s="8">
        <f>F9*G9</f>
        <v/>
      </c>
      <c r="I9" s="4" t="inlineStr">
        <is>
          <t>ASAP (was Mon 10/5)</t>
        </is>
      </c>
      <c r="J9" s="4" t="inlineStr">
        <is>
          <t>Legs straightened into J3. Meter-check against the cable before gluing.</t>
        </is>
      </c>
    </row>
    <row r="10">
      <c r="A10" s="4" t="n">
        <v>6</v>
      </c>
      <c r="B10" s="4" t="inlineStr">
        <is>
          <t>Magnetic USB charging cable for 4-pin</t>
        </is>
      </c>
      <c r="C10" s="4" t="inlineStr">
        <is>
          <t>Adafruit</t>
        </is>
      </c>
      <c r="D10" s="5" t="inlineStr">
        <is>
          <t>https://www.adafruit.com/product/5412</t>
        </is>
      </c>
      <c r="E10" s="4" t="inlineStr">
        <is>
          <t>#5412</t>
        </is>
      </c>
      <c r="F10" s="6" t="n">
        <v>2</v>
      </c>
      <c r="G10" s="7" t="n">
        <v>4.95</v>
      </c>
      <c r="H10" s="8">
        <f>F10*G10</f>
        <v/>
      </c>
      <c r="I10" s="4" t="inlineStr">
        <is>
          <t>ASAP (was Mon 10/5)</t>
        </is>
      </c>
      <c r="J10" s="4" t="inlineStr">
        <is>
          <t>Only 35 in stock on 10/6: order first. Needed to charge AND flash.</t>
        </is>
      </c>
    </row>
    <row r="11">
      <c r="A11" s="4" t="n">
        <v>7</v>
      </c>
      <c r="B11" s="4" t="inlineStr">
        <is>
          <t>Adafruit shipping (UPS 2nd Day)</t>
        </is>
      </c>
      <c r="C11" s="4" t="inlineStr">
        <is>
          <t>Adafruit</t>
        </is>
      </c>
      <c r="D11" s="5" t="inlineStr">
        <is>
          <t>https://www.adafruit.com</t>
        </is>
      </c>
      <c r="E11" s="4" t="inlineStr">
        <is>
          <t>—</t>
        </is>
      </c>
      <c r="F11" s="6" t="n">
        <v>1</v>
      </c>
      <c r="G11" s="7" t="n">
        <v>15</v>
      </c>
      <c r="H11" s="8">
        <f>F11*G11</f>
        <v/>
      </c>
      <c r="I11" s="4" t="inlineStr">
        <is>
          <t>ASAP (was Mon 10/5)</t>
        </is>
      </c>
      <c r="J11" s="4" t="inlineStr">
        <is>
          <t>Estimate. One box for the 3 Adafruit lines.</t>
        </is>
      </c>
    </row>
    <row r="12">
      <c r="A12" s="4" t="n">
        <v>8</v>
      </c>
      <c r="B12" s="4" t="inlineStr">
        <is>
          <t>Waveshare 2.13" e-Paper raw panel V4 (B/W, SSD1680)</t>
        </is>
      </c>
      <c r="C12" s="4" t="inlineStr">
        <is>
          <t>Waveshare or Amazon Prime</t>
        </is>
      </c>
      <c r="D12" s="5" t="inlineStr">
        <is>
          <t>https://www.waveshare.com/2.13inch-e-Paper.htm</t>
        </is>
      </c>
      <c r="E12" s="4" t="inlineStr">
        <is>
          <t>SKU 12672</t>
        </is>
      </c>
      <c r="F12" s="6" t="n">
        <v>2</v>
      </c>
      <c r="G12" s="7" t="n">
        <v>6.99</v>
      </c>
      <c r="H12" s="8">
        <f>F12*G12</f>
        <v/>
      </c>
      <c r="I12" s="4" t="inlineStr">
        <is>
          <t>ASAP (was Mon 10/5)</t>
        </is>
      </c>
      <c r="J12" s="4" t="inlineStr">
        <is>
          <t>You already own 1 (in your HAT). Buy 1 for board #2 + 1 spare. Buy SKU 12672: Waveshare's raw-panel page may not print "V4" (that suffix is the HAT name); same panel, 250 × 122, SSD1680.</t>
        </is>
      </c>
    </row>
    <row r="13">
      <c r="A13" s="4" t="n">
        <v>9</v>
      </c>
      <c r="B13" s="4" t="inlineStr">
        <is>
          <t>Waveshare shipping</t>
        </is>
      </c>
      <c r="C13" s="4" t="inlineStr">
        <is>
          <t>Waveshare</t>
        </is>
      </c>
      <c r="D13" s="5" t="inlineStr">
        <is>
          <t>https://www.waveshare.com</t>
        </is>
      </c>
      <c r="E13" s="4" t="inlineStr">
        <is>
          <t>—</t>
        </is>
      </c>
      <c r="F13" s="6" t="n">
        <v>1</v>
      </c>
      <c r="G13" s="7" t="n">
        <v>20</v>
      </c>
      <c r="H13" s="8">
        <f>F13*G13</f>
        <v/>
      </c>
      <c r="I13" s="4" t="inlineStr">
        <is>
          <t>ASAP (was Mon 10/5)</t>
        </is>
      </c>
      <c r="J13" s="4" t="inlineStr">
        <is>
          <t>Estimate; $0 if Amazon Prime.</t>
        </is>
      </c>
    </row>
    <row r="14">
      <c r="A14" s="4" t="n">
        <v>10</v>
      </c>
      <c r="B14" s="4" t="inlineStr">
        <is>
          <t>OV5640 autofocus camera for XIAO ESP32S3 Sense</t>
        </is>
      </c>
      <c r="C14" s="4" t="inlineStr">
        <is>
          <t>Seeed Studio (or US reseller)</t>
        </is>
      </c>
      <c r="D14" s="5" t="inlineStr">
        <is>
          <t>https://www.seeedstudio.com/catalogsearch/result/?q=OV5640%20XIAO</t>
        </is>
      </c>
      <c r="E14" s="4" t="inlineStr">
        <is>
          <t>114993115</t>
        </is>
      </c>
      <c r="F14" s="6" t="n">
        <v>3</v>
      </c>
      <c r="G14" s="7" t="n">
        <v>12.99</v>
      </c>
      <c r="H14" s="8">
        <f>F14*G14</f>
        <v/>
      </c>
      <c r="I14" s="4" t="inlineStr">
        <is>
          <t>ASAP (was Mon 10/5)</t>
        </is>
      </c>
      <c r="J14" s="4" t="inlineStr">
        <is>
          <t>Buy THIS exact module (SKU 114993115): J1 is designed for its ribbon. Seeed $12.99 (with heat sink); DigiKey US $11.99, 673 in stock on 10/6, faster. Skip the heat-sink if taller than 5.5 mm. Avoid the $46 Newegg reseller.</t>
        </is>
      </c>
    </row>
    <row r="15">
      <c r="A15" s="4" t="n">
        <v>11</v>
      </c>
      <c r="B15" s="4" t="inlineStr">
        <is>
          <t>Camera shipping</t>
        </is>
      </c>
      <c r="C15" s="4" t="inlineStr">
        <is>
          <t>Seeed</t>
        </is>
      </c>
      <c r="D15" s="5" t="inlineStr">
        <is>
          <t>https://www.seeedstudio.com</t>
        </is>
      </c>
      <c r="E15" s="4" t="inlineStr">
        <is>
          <t>—</t>
        </is>
      </c>
      <c r="F15" s="6" t="n">
        <v>1</v>
      </c>
      <c r="G15" s="7" t="n">
        <v>12</v>
      </c>
      <c r="H15" s="8">
        <f>F15*G15</f>
        <v/>
      </c>
      <c r="I15" s="4" t="inlineStr">
        <is>
          <t>ASAP (was Mon 10/5)</t>
        </is>
      </c>
      <c r="J15" s="4" t="inlineStr">
        <is>
          <t>Estimate.</t>
        </is>
      </c>
    </row>
    <row r="16">
      <c r="A16" s="4" t="n">
        <v>12</v>
      </c>
      <c r="B16" s="4" t="inlineStr">
        <is>
          <t>Kapton tape (10–20 mm)</t>
        </is>
      </c>
      <c r="C16" s="4" t="inlineStr">
        <is>
          <t>Amazon</t>
        </is>
      </c>
      <c r="D16" s="5" t="inlineStr">
        <is>
          <t>https://www.amazon.com/s?k=kapton+tape+10mm</t>
        </is>
      </c>
      <c r="E16" s="4" t="inlineStr">
        <is>
          <t>—</t>
        </is>
      </c>
      <c r="F16" s="6" t="n">
        <v>1</v>
      </c>
      <c r="G16" s="7" t="n">
        <v>9</v>
      </c>
      <c r="H16" s="8">
        <f>F16*G16</f>
        <v/>
      </c>
      <c r="I16" s="4" t="inlineStr">
        <is>
          <t>This week</t>
        </is>
      </c>
      <c r="J16" s="4" t="inlineStr">
        <is>
          <t>Insulates the battery, camera and e-paper back. Estimate.</t>
        </is>
      </c>
    </row>
    <row r="17">
      <c r="A17" s="4" t="n">
        <v>13</v>
      </c>
      <c r="B17" s="4" t="inlineStr">
        <is>
          <t>Thin double-sided tape 0.1 mm (camera, battery) + about 0.15 mm for the e-paper</t>
        </is>
      </c>
      <c r="C17" s="4" t="inlineStr">
        <is>
          <t>Amazon</t>
        </is>
      </c>
      <c r="D17" s="5" t="inlineStr">
        <is>
          <t>https://www.amazon.com/s?k=thin+double+sided+tape+0.1mm</t>
        </is>
      </c>
      <c r="E17" s="4" t="inlineStr">
        <is>
          <t>—</t>
        </is>
      </c>
      <c r="F17" s="6" t="n">
        <v>1</v>
      </c>
      <c r="G17" s="7" t="n">
        <v>10</v>
      </c>
      <c r="H17" s="8">
        <f>F17*G17</f>
        <v/>
      </c>
      <c r="I17" s="4" t="inlineStr">
        <is>
          <t>This week</t>
        </is>
      </c>
      <c r="J17" s="4" t="inlineStr">
        <is>
          <t>No foam anywhere: only 0.3 mm above the battery and 0.5 mm above the lens. Estimate.</t>
        </is>
      </c>
    </row>
    <row r="18">
      <c r="A18" s="4" t="n">
        <v>14</v>
      </c>
      <c r="B18" s="4" t="inlineStr">
        <is>
          <t>Plastic glue / 2-part epoxy</t>
        </is>
      </c>
      <c r="C18" s="4" t="inlineStr">
        <is>
          <t>Hardware store</t>
        </is>
      </c>
      <c r="D18" s="4" t="inlineStr">
        <is>
          <t>—</t>
        </is>
      </c>
      <c r="E18" s="4" t="inlineStr">
        <is>
          <t>—</t>
        </is>
      </c>
      <c r="F18" s="6" t="n">
        <v>1</v>
      </c>
      <c r="G18" s="7" t="n">
        <v>6</v>
      </c>
      <c r="H18" s="8">
        <f>F18*G18</f>
        <v/>
      </c>
      <c r="I18" s="4" t="inlineStr">
        <is>
          <t>This week</t>
        </is>
      </c>
      <c r="J18" s="4" t="inlineStr">
        <is>
          <t>Glues the magnet piece into the top-wall slot. Estimate.</t>
        </is>
      </c>
    </row>
    <row r="19">
      <c r="A19" s="4" t="n">
        <v>15</v>
      </c>
      <c r="B19" s="4" t="inlineStr">
        <is>
          <t>7 mm drill bit (9/32" OK) + 2–3 mm pilot bit + deburring tool / countersink</t>
        </is>
      </c>
      <c r="C19" s="4" t="inlineStr">
        <is>
          <t>Hardware store</t>
        </is>
      </c>
      <c r="D19" s="4" t="inlineStr">
        <is>
          <t>—</t>
        </is>
      </c>
      <c r="E19" s="4" t="inlineStr">
        <is>
          <t>—</t>
        </is>
      </c>
      <c r="F19" s="6" t="n">
        <v>1</v>
      </c>
      <c r="G19" s="7" t="n">
        <v>12</v>
      </c>
      <c r="H19" s="8">
        <f>F19*G19</f>
        <v/>
      </c>
      <c r="I19" s="4" t="inlineStr">
        <is>
          <t>This week</t>
        </is>
      </c>
      <c r="J19" s="4" t="inlineStr">
        <is>
          <t>Camera window in the back cover at KiCad (150, 95.1): pilot hole first, then 7 mm, then deburr. Drill only after the camera ribbon is measured. Estimate.</t>
        </is>
      </c>
    </row>
    <row r="20">
      <c r="A20" s="4" t="n">
        <v>16</v>
      </c>
      <c r="B20" s="4" t="inlineStr">
        <is>
          <t>Matte black vinyl sheet (window mask, 47.75 × 22.90 mm opening)</t>
        </is>
      </c>
      <c r="C20" s="4" t="inlineStr">
        <is>
          <t>Amazon</t>
        </is>
      </c>
      <c r="D20" s="5" t="inlineStr">
        <is>
          <t>https://www.amazon.com/s?k=matte+black+adhesive+vinyl+sheet</t>
        </is>
      </c>
      <c r="E20" s="4" t="inlineStr">
        <is>
          <t>—</t>
        </is>
      </c>
      <c r="F20" s="6" t="n">
        <v>1</v>
      </c>
      <c r="G20" s="7" t="n">
        <v>8</v>
      </c>
      <c r="H20" s="8">
        <f>F20*G20</f>
        <v/>
      </c>
      <c r="I20" s="4" t="inlineStr">
        <is>
          <t>This week</t>
        </is>
      </c>
      <c r="J20" s="4" t="inlineStr">
        <is>
          <t>Hides the 0.5–0.8 mm of board showing beside the e-paper glass (hardware/enclosure/final_assembly/window_mask.md). Estimate.</t>
        </is>
      </c>
    </row>
    <row r="21">
      <c r="A21" s="4" t="n">
        <v>17</v>
      </c>
      <c r="B21" s="4" t="inlineStr">
        <is>
          <t>Isopropyl alcohol 99 %</t>
        </is>
      </c>
      <c r="C21" s="4" t="inlineStr">
        <is>
          <t>Amazon / pharmacy</t>
        </is>
      </c>
      <c r="D21" s="5" t="inlineStr">
        <is>
          <t>https://www.amazon.com/s?k=99%25+isopropyl+alcohol</t>
        </is>
      </c>
      <c r="E21" s="4" t="inlineStr">
        <is>
          <t>—</t>
        </is>
      </c>
      <c r="F21" s="6" t="n">
        <v>1</v>
      </c>
      <c r="G21" s="7" t="n">
        <v>6</v>
      </c>
      <c r="H21" s="8">
        <f>F21*G21</f>
        <v/>
      </c>
      <c r="I21" s="4" t="inlineStr">
        <is>
          <t>This week</t>
        </is>
      </c>
      <c r="J21" s="4" t="inlineStr">
        <is>
          <t>Cleans the ENIG pads and the window before taping. Estimate.</t>
        </is>
      </c>
    </row>
    <row r="22">
      <c r="A22" s="4" t="n">
        <v>18</v>
      </c>
      <c r="B22" s="4" t="inlineStr">
        <is>
          <t>Safety glasses + dust mask</t>
        </is>
      </c>
      <c r="C22" s="4" t="inlineStr">
        <is>
          <t>Hardware store</t>
        </is>
      </c>
      <c r="D22" s="4" t="inlineStr">
        <is>
          <t>—</t>
        </is>
      </c>
      <c r="E22" s="4" t="inlineStr">
        <is>
          <t>—</t>
        </is>
      </c>
      <c r="F22" s="6" t="n">
        <v>1</v>
      </c>
      <c r="G22" s="7" t="n">
        <v>10</v>
      </c>
      <c r="H22" s="8">
        <f>F22*G22</f>
        <v/>
      </c>
      <c r="I22" s="4" t="inlineStr">
        <is>
          <t>This week</t>
        </is>
      </c>
      <c r="J22" s="4" t="inlineStr">
        <is>
          <t>For the grinding and drilling (ABS dust). Estimate.</t>
        </is>
      </c>
    </row>
    <row r="23">
      <c r="A23" s="4" t="n">
        <v>19</v>
      </c>
      <c r="B23" s="4" t="inlineStr">
        <is>
          <t>USB-A 5 V charger or USB-C→USB-A adapter (only if you have none)</t>
        </is>
      </c>
      <c r="C23" s="4" t="inlineStr">
        <is>
          <t>Amazon</t>
        </is>
      </c>
      <c r="D23" s="5" t="inlineStr">
        <is>
          <t>https://www.amazon.com/s?k=usb-a+5v+wall+charger</t>
        </is>
      </c>
      <c r="E23" s="4" t="inlineStr">
        <is>
          <t>—</t>
        </is>
      </c>
      <c r="F23" s="6" t="n">
        <v>1</v>
      </c>
      <c r="G23" s="7" t="n">
        <v>8</v>
      </c>
      <c r="H23" s="8">
        <f>F23*G23</f>
        <v/>
      </c>
      <c r="I23" s="4" t="inlineStr">
        <is>
          <t>This week</t>
        </is>
      </c>
      <c r="J23" s="4" t="inlineStr">
        <is>
          <t>The #5412 magnet cable is USB-A. Any phone charger with a USB-A port works; skip if you own one. Estimate.</t>
        </is>
      </c>
    </row>
    <row r="24">
      <c r="A24" s="2" t="n"/>
    </row>
    <row r="25">
      <c r="G25" s="11" t="inlineStr">
        <is>
          <t>Total</t>
        </is>
      </c>
      <c r="H25" s="12">
        <f>SUM(H5:H23)</f>
        <v/>
      </c>
    </row>
    <row r="26">
      <c r="G26" s="11" t="inlineStr">
        <is>
          <t>JLCPCB part</t>
        </is>
      </c>
      <c r="H26" s="12">
        <f>SUM(H5:H7)</f>
        <v/>
      </c>
    </row>
    <row r="27">
      <c r="G27" s="11" t="inlineStr">
        <is>
          <t>Everything else</t>
        </is>
      </c>
      <c r="H27" s="12">
        <f>H25-H26</f>
        <v/>
      </c>
    </row>
    <row r="29">
      <c r="A29" s="2" t="inlineStr">
        <is>
          <t>Not on this list (you already have them): 2+ Casio fx-115ES calculators, calipers, multimeter, 1 Waveshare e-paper panel, a rotary tool for the grinds. Casio screws are reused.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20" r:id="rId14"/>
    <hyperlink xmlns:r="http://schemas.openxmlformats.org/officeDocument/2006/relationships" ref="D21" r:id="rId15"/>
    <hyperlink xmlns:r="http://schemas.openxmlformats.org/officeDocument/2006/relationships" ref="D23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2026-10-04T23:41:41Z</dcterms:created>
  <dcterms:modified xsi:type="dcterms:W3CDTF">2026-10-06T17:54:51Z</dcterms:modified>
</cp:coreProperties>
</file>