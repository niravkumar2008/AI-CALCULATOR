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Testers v14 (5 units)" sheetId="2" state="visible" r:id="rId2"/>
    <sheet name="v15-LCD proto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0.00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FFF9E5"/>
      </patternFill>
    </fill>
    <fill>
      <patternFill patternType="solid">
        <fgColor rgb="002F5D8A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3" fillId="4" borderId="0" pivotButton="0" quotePrefix="0" xfId="0"/>
    <xf numFmtId="164" fontId="5" fillId="2" borderId="0" pivotButton="0" quotePrefix="0" xfId="0"/>
    <xf numFmtId="9" fontId="4" fillId="0" borderId="0" pivotButton="0" quotePrefix="0" xfId="0"/>
    <xf numFmtId="0" fontId="5" fillId="2" borderId="0" pivotButton="0" quotePrefix="0" xfId="0"/>
    <xf numFmtId="1" fontId="5" fillId="2" borderId="0" pivotButton="0" quotePrefix="0" xfId="0"/>
    <xf numFmtId="1" fontId="4" fillId="0" borderId="0" pivotButton="0" quotePrefix="0" xfId="0"/>
    <xf numFmtId="0" fontId="6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4" fillId="0" borderId="0" applyAlignment="1" pivotButton="0" quotePrefix="0" xfId="0">
      <alignment vertical="top" wrapText="1"/>
    </xf>
    <xf numFmtId="1" fontId="4" fillId="5" borderId="0" pivotButton="0" quotePrefix="0" xfId="0"/>
    <xf numFmtId="164" fontId="4" fillId="5" borderId="0" pivotButton="0" quotePrefix="0" xfId="0"/>
    <xf numFmtId="165" fontId="5" fillId="2" borderId="0" pivotButton="0" quotePrefix="0" xfId="0"/>
    <xf numFmtId="165" fontId="4" fillId="0" borderId="0" pivotButton="0" quotePrefix="0" xfId="0"/>
    <xf numFmtId="164" fontId="0" fillId="2" borderId="0" pivotButton="0" quotePrefix="0" xfId="0"/>
    <xf numFmtId="1" fontId="0" fillId="2" borderId="0" pivotButton="0" quotePrefix="0" xfId="0"/>
    <xf numFmtId="164" fontId="0" fillId="0" borderId="0" pivotButton="0" quotePrefix="0" xfId="0"/>
    <xf numFmtId="165" fontId="0" fillId="2" borderId="0" pivotButton="0" quotePrefix="0" xfId="0"/>
    <xf numFmtId="0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A10" authorId="0" shapeId="0">
      <text>
        <t>2026-10-11 (Nirav): v14 was never ordered; v15-LCD was. Amount kept for history.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2" authorId="0" shapeId="0">
      <text>
        <t>2026-10-11 (Nirav): v14 was never ordered; v15-LCD was. Amount kept for history.</t>
      </text>
    </comment>
    <comment ref="A8" authorId="0" shapeId="0">
      <text>
        <t>2026-10-11 (Nirav): v14 was never ordered; v15-LCD was. Amount kept for history.</t>
      </text>
    </comment>
    <comment ref="B19" authorId="0" shapeId="0">
      <text>
        <t>2026-10-11 (Nirav): v14 was never ordered; v15-LCD was. Amount kept for history.</t>
      </text>
    </comment>
    <comment ref="B20" authorId="0" shapeId="0">
      <text>
        <t>2026-10-11 (Nirav): v14 was never ordered; v15-LCD was. Amount kept for history.</t>
      </text>
    </comment>
    <comment ref="B49" authorId="0" shapeId="0">
      <text>
        <t>2026-10-11 (Nirav): v14 was never ordered; v15-LCD was. Amount kept for history.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90" customWidth="1" min="3" max="3"/>
  </cols>
  <sheetData>
    <row r="1">
      <c r="A1" s="1" t="inlineStr">
        <is>
          <t>What the 2026-10-08 plan costs now, against the $2,000 budget</t>
        </is>
      </c>
    </row>
    <row r="2">
      <c r="A2" s="2" t="inlineStr">
        <is>
          <t>All black cells are formulas from the other two sheets. The rest of the $2,000 plan (knockoff samples, pilot, legal) is in hardware/production/COST_MODEL.xlsx 'Cash budget'.</t>
        </is>
      </c>
    </row>
    <row r="3"/>
    <row r="4">
      <c r="A4" s="3" t="inlineStr">
        <is>
          <t>Item</t>
        </is>
      </c>
      <c r="B4" s="3" t="inlineStr">
        <is>
          <t>Amount</t>
        </is>
      </c>
      <c r="C4" s="3" t="inlineStr">
        <is>
          <t>Notes</t>
        </is>
      </c>
    </row>
    <row r="5">
      <c r="A5" s="4" t="inlineStr">
        <is>
          <t>Option A, all current parts: 5 testers</t>
        </is>
      </c>
      <c r="B5" s="5">
        <f>'Testers v14 (5 units)'!$J$48</f>
        <v/>
      </c>
      <c r="C5" s="2" t="inlineStr">
        <is>
          <t>Plan ≈ $670.</t>
        </is>
      </c>
    </row>
    <row r="6">
      <c r="A6" s="4" t="inlineStr">
        <is>
          <t>Option B, all generic screen / camera / battery: 5 testers</t>
        </is>
      </c>
      <c r="B6" s="5">
        <f>'Testers v14 (5 units)'!$K$48</f>
        <v/>
      </c>
      <c r="C6" s="2" t="inlineStr">
        <is>
          <t>Plan ≈ $575. Cheapest, but every unit carries the untested generic parts.</t>
        </is>
      </c>
    </row>
    <row r="7">
      <c r="A7" s="4" t="inlineStr">
        <is>
          <t>Option C, units 1–3 current, 4–5 generic: 5 testers (recommended)</t>
        </is>
      </c>
      <c r="B7" s="5">
        <f>'Testers v14 (5 units)'!$L$48</f>
        <v/>
      </c>
      <c r="C7" s="2" t="inlineStr">
        <is>
          <t>Plan ≈ $670.</t>
        </is>
      </c>
    </row>
    <row r="8">
      <c r="A8" s="4" t="inlineStr">
        <is>
          <t>Chosen option</t>
        </is>
      </c>
      <c r="B8" s="4">
        <f>'Testers v14 (5 units)'!$C$5</f>
        <v/>
      </c>
      <c r="C8" s="2" t="inlineStr">
        <is>
          <t>Switch on the 'Testers v14 (5 units)' sheet.</t>
        </is>
      </c>
    </row>
    <row r="9">
      <c r="A9" s="4" t="inlineStr">
        <is>
          <t>Chosen option total</t>
        </is>
      </c>
      <c r="B9" s="6">
        <f>'Testers v14 (5 units)'!$N$48</f>
        <v/>
      </c>
      <c r="C9" s="2" t="inlineStr"/>
    </row>
    <row r="10">
      <c r="A10" s="4" t="inlineStr">
        <is>
          <t>…of which the JLCPCB v14 order (paid 10/8) [2026-10-11: NOT ORDERED - v14 was never ordered]</t>
        </is>
      </c>
      <c r="B10" s="5">
        <f>'Testers v14 (5 units)'!$N$49</f>
        <v/>
      </c>
      <c r="C10" s="2" t="inlineStr"/>
    </row>
    <row r="11">
      <c r="A11" s="4" t="inlineStr">
        <is>
          <t>…still to buy for the testers</t>
        </is>
      </c>
      <c r="B11" s="5">
        <f>'Testers v14 (5 units)'!$N$50</f>
        <v/>
      </c>
      <c r="C11" s="2" t="inlineStr"/>
    </row>
    <row r="12">
      <c r="A12" s="4" t="inlineStr">
        <is>
          <t>v15-LCD: 3 × BuyDisplay ER-TFT019-1 + the v15 JLCPCB order</t>
        </is>
      </c>
      <c r="B12" s="5">
        <f>'v15-LCD prototype'!$H$13</f>
        <v/>
      </c>
      <c r="C12" s="2" t="inlineStr">
        <is>
          <t>v15 verified ORDER (review 14). Panels ≈ $32, board order ≈ $270 (estimate).</t>
        </is>
      </c>
    </row>
    <row r="13">
      <c r="A13" s="7" t="inlineStr">
        <is>
          <t>SPEND NOW (testers + v15 order + panels)</t>
        </is>
      </c>
      <c r="B13" s="8">
        <f>B9+B12</f>
        <v/>
      </c>
      <c r="C13" s="2" t="inlineStr"/>
    </row>
    <row r="14">
      <c r="A14" s="4" t="inlineStr">
        <is>
          <t>Budget</t>
        </is>
      </c>
      <c r="B14" s="9" t="n">
        <v>2000</v>
      </c>
      <c r="C14" s="2" t="inlineStr">
        <is>
          <t>Business plan: $2,000 total budget.</t>
        </is>
      </c>
    </row>
    <row r="15">
      <c r="A15" s="7" t="inlineStr">
        <is>
          <t>LEFT after these, for the rest of the plan</t>
        </is>
      </c>
      <c r="B15" s="8">
        <f>B14-B13</f>
        <v/>
      </c>
      <c r="C15" s="2" t="inlineStr">
        <is>
          <t>Covers knockoff samples, pilot, server, legal: see COST_MODEL.xlsx 'Cash budget'.</t>
        </is>
      </c>
    </row>
    <row r="16">
      <c r="A16" s="4" t="inlineStr">
        <is>
          <t>Share of the budget spent now</t>
        </is>
      </c>
      <c r="B16" s="10">
        <f>B13/B14</f>
        <v/>
      </c>
      <c r="C16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xSplit="2" ySplit="18" topLeftCell="C1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8" customWidth="1" min="3" max="3"/>
    <col width="30" customWidth="1" min="4" max="4"/>
    <col width="16" customWidth="1" min="5" max="5"/>
    <col width="10" customWidth="1" min="6" max="6"/>
    <col width="8" customWidth="1" min="7" max="7"/>
    <col width="8" customWidth="1" min="8" max="8"/>
    <col width="8" customWidth="1" min="9" max="9"/>
    <col width="11" customWidth="1" min="10" max="10"/>
    <col width="11" customWidth="1" min="11" max="11"/>
    <col width="11" customWidth="1" min="12" max="12"/>
    <col width="10" customWidth="1" min="13" max="13"/>
    <col width="13" customWidth="1" min="14" max="14"/>
    <col width="14" customWidth="1" min="15" max="15"/>
    <col width="80" customWidth="1" min="16" max="16"/>
  </cols>
  <sheetData>
    <row r="1">
      <c r="A1" s="1" t="inlineStr">
        <is>
          <t>AI Calculator: 5 v14 e-paper TESTERS in genuine Casio fx-115ES shells. Options A / B / C side by side; the switch picks one.</t>
        </is>
      </c>
    </row>
    <row r="2">
      <c r="A2" s="2" t="inlineStr">
        <is>
          <t>Updated 2026-10-08. Blue = inputs/estimates you can edit (yellow cells); black = formulas. v14 is ordered at JLCPCB (git tag v14-order). Prices: Adafruit/Seeed/Waveshare checked 2026-10-03/06; generic prices are AliExpress-level estimates; JLCPCB delivered ranges from hardware/FAB_VENDOR_COMPARISON.md. [2026-10-11: NOT ORDERED - v14 was never ordered]</t>
        </is>
      </c>
    </row>
    <row r="3"/>
    <row r="4">
      <c r="A4" s="7" t="inlineStr">
        <is>
          <t>Inputs</t>
        </is>
      </c>
    </row>
    <row r="5">
      <c r="A5" s="4" t="inlineStr">
        <is>
          <t>Option chosen (A / B / C)</t>
        </is>
      </c>
      <c r="C5" s="11" t="inlineStr">
        <is>
          <t>C</t>
        </is>
      </c>
      <c r="D5" s="2" t="inlineStr">
        <is>
          <t>A = all current parts (Seeed camera, Waveshare screen, Adafruit battery). B = all generic. C = units 1–3 current, 4–5 generic (recommended: known-good parts first, generic ones tested on 2 units).</t>
        </is>
      </c>
    </row>
    <row r="6">
      <c r="A6" s="4" t="inlineStr">
        <is>
          <t>Tester units to build</t>
        </is>
      </c>
      <c r="C6" s="12" t="n">
        <v>5</v>
      </c>
      <c r="D6" s="2" t="inlineStr">
        <is>
          <t>Plan 2026-10-08: 5 testers.</t>
        </is>
      </c>
    </row>
    <row r="7">
      <c r="A7" s="4" t="inlineStr">
        <is>
          <t>JLCPCB boards assembled (PCBA qty, 2 or 5)</t>
        </is>
      </c>
      <c r="C7" s="12" t="n">
        <v>5</v>
      </c>
      <c r="D7" s="2" t="inlineStr">
        <is>
          <t>Nirav was choosing 2 vs 5 at checkout on 10/8. Assumed 5; set 2 if you picked 2 (then only 2 testers can be built until more boards come).</t>
        </is>
      </c>
    </row>
    <row r="8">
      <c r="A8" s="4" t="inlineStr">
        <is>
          <t>JLCPCB delivered, 5 PCBs with 2 assembled [2026-10-11: NOT ORDERED - v14 was never ordered]</t>
        </is>
      </c>
      <c r="C8" s="9" t="n">
        <v>220</v>
      </c>
      <c r="D8" s="2" t="inlineStr">
        <is>
          <t>≈ $200–240 incl. DHL and ~35 % US duty collected at checkout (DDP); midpoint. Replace with the real order total.</t>
        </is>
      </c>
    </row>
    <row r="9">
      <c r="A9" s="4" t="inlineStr">
        <is>
          <t>Extra delivered cost for 5 assembled instead of 2</t>
        </is>
      </c>
      <c r="C9" s="9" t="n">
        <v>55</v>
      </c>
      <c r="D9" s="2" t="inlineStr">
        <is>
          <t>≈ $50–60 more (parts + assembly for 3 more boards, incl. ~35 % duty). Midpoint.</t>
        </is>
      </c>
    </row>
    <row r="10">
      <c r="A10" s="4" t="inlineStr">
        <is>
          <t>Casio fx-115ES shells you already own</t>
        </is>
      </c>
      <c r="C10" s="12" t="n">
        <v>2</v>
      </c>
      <c r="D10" s="2" t="inlineStr">
        <is>
          <t>You own 2 (one is the measured one).</t>
        </is>
      </c>
    </row>
    <row r="11">
      <c r="A11" s="4" t="inlineStr">
        <is>
          <t>Casio fx-115ES price each</t>
        </is>
      </c>
      <c r="C11" s="9" t="n">
        <v>20</v>
      </c>
      <c r="D11" s="2" t="inlineStr">
        <is>
          <t>Walmart $19.99 (LAUNCH_ROADMAP.md [S6]); tax not included. Must be the SAME edition you measured.</t>
        </is>
      </c>
    </row>
    <row r="12">
      <c r="A12" s="4" t="inlineStr">
        <is>
          <t>Spares per part kind (camera, screen, battery, magnet piece)</t>
        </is>
      </c>
      <c r="C12" s="12" t="n">
        <v>1</v>
      </c>
      <c r="D12" s="2" t="inlineStr">
        <is>
          <t>6 of each for 5 units = 1 spare. In option C each kind (current and generic) gets its own spare.</t>
        </is>
      </c>
    </row>
    <row r="13"/>
    <row r="14">
      <c r="F14" s="7" t="inlineStr">
        <is>
          <t>Option →</t>
        </is>
      </c>
      <c r="G14" s="7" t="inlineStr">
        <is>
          <t>A</t>
        </is>
      </c>
      <c r="H14" s="7" t="inlineStr">
        <is>
          <t>B</t>
        </is>
      </c>
      <c r="I14" s="7" t="inlineStr">
        <is>
          <t>C</t>
        </is>
      </c>
    </row>
    <row r="15">
      <c r="A15" s="4" t="inlineStr">
        <is>
          <t>Units built with CURRENT parts (Seeed camera, Waveshare screen, Adafruit battery)</t>
        </is>
      </c>
      <c r="G15" s="13">
        <f>$C$6</f>
        <v/>
      </c>
      <c r="H15" s="12" t="n">
        <v>0</v>
      </c>
      <c r="I15" s="12" t="n">
        <v>3</v>
      </c>
    </row>
    <row r="16">
      <c r="A16" s="4" t="inlineStr">
        <is>
          <t>Units built with GENERIC parts (GDEY0213B74, generic OV5640 AF, 302030 cell)</t>
        </is>
      </c>
      <c r="G16" s="13">
        <f>$C$6-G15</f>
        <v/>
      </c>
      <c r="H16" s="13">
        <f>$C$6-H15</f>
        <v/>
      </c>
      <c r="I16" s="13">
        <f>$C$6-I15</f>
        <v/>
      </c>
    </row>
    <row r="17"/>
    <row r="18">
      <c r="A18" s="14" t="inlineStr">
        <is>
          <t>#</t>
        </is>
      </c>
      <c r="B18" s="14" t="inlineStr">
        <is>
          <t>Item</t>
        </is>
      </c>
      <c r="C18" s="14" t="inlineStr">
        <is>
          <t>Vendor</t>
        </is>
      </c>
      <c r="D18" s="14" t="inlineStr">
        <is>
          <t>Link</t>
        </is>
      </c>
      <c r="E18" s="14" t="inlineStr">
        <is>
          <t>Part / SKU</t>
        </is>
      </c>
      <c r="F18" s="14" t="inlineStr">
        <is>
          <t>Unit $</t>
        </is>
      </c>
      <c r="G18" s="14" t="inlineStr">
        <is>
          <t>Qty A</t>
        </is>
      </c>
      <c r="H18" s="14" t="inlineStr">
        <is>
          <t>Qty B</t>
        </is>
      </c>
      <c r="I18" s="14" t="inlineStr">
        <is>
          <t>Qty C</t>
        </is>
      </c>
      <c r="J18" s="14" t="inlineStr">
        <is>
          <t>Total A</t>
        </is>
      </c>
      <c r="K18" s="14" t="inlineStr">
        <is>
          <t>Total B</t>
        </is>
      </c>
      <c r="L18" s="14" t="inlineStr">
        <is>
          <t>Total C</t>
        </is>
      </c>
      <c r="M18" s="14" t="inlineStr">
        <is>
          <t>Qty (chosen)</t>
        </is>
      </c>
      <c r="N18" s="14" t="inlineStr">
        <is>
          <t>Total (chosen)</t>
        </is>
      </c>
      <c r="O18" s="14" t="inlineStr">
        <is>
          <t>Order by</t>
        </is>
      </c>
      <c r="P18" s="14" t="inlineStr">
        <is>
          <t>Why / notes</t>
        </is>
      </c>
    </row>
    <row r="19">
      <c r="A19" s="15" t="n"/>
      <c r="B19" s="16" t="inlineStr">
        <is>
          <t>JLCPCB board order (v14, ordered 2026-10-08) [2026-10-11: NOT ORDERED - v14 was never ordered]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>
      <c r="A20" s="4" t="n">
        <v>1</v>
      </c>
      <c r="B20" s="17" t="inlineStr">
        <is>
          <t>JLCPCB v14: 5 PCBs, 2 assembled, DELIVERED (incl. DHL + US duty) [2026-10-11: NOT ORDERED - v14 was never ordered]</t>
        </is>
      </c>
      <c r="C20" s="17" t="inlineStr">
        <is>
          <t>JLCPCB</t>
        </is>
      </c>
      <c r="D20" s="17" t="inlineStr">
        <is>
          <t>https://jlcpcb.com</t>
        </is>
      </c>
      <c r="E20" s="17" t="inlineStr">
        <is>
          <t>ai_calc_pcb_14.zip / tag v14-order</t>
        </is>
      </c>
      <c r="F20" s="5">
        <f>$C$8</f>
        <v/>
      </c>
      <c r="G20" s="13">
        <f>1</f>
        <v/>
      </c>
      <c r="H20" s="13">
        <f>1</f>
        <v/>
      </c>
      <c r="I20" s="13">
        <f>1</f>
        <v/>
      </c>
      <c r="J20" s="5">
        <f>$F20*G20</f>
        <v/>
      </c>
      <c r="K20" s="5">
        <f>$F20*H20</f>
        <v/>
      </c>
      <c r="L20" s="5">
        <f>$F20*I20</f>
        <v/>
      </c>
      <c r="M20" s="18">
        <f>IF($C$5="A",G20,IF($C$5="B",H20,I20))</f>
        <v/>
      </c>
      <c r="N20" s="19">
        <f>$F20*M20</f>
        <v/>
      </c>
      <c r="O20" s="4" t="inlineStr">
        <is>
          <t>Ordered 10/8</t>
        </is>
      </c>
      <c r="P20" s="17" t="inlineStr">
        <is>
          <t>2-layer, 0.8 mm, ENIG, Standard PCBA. Delivered ≈ $200–240 (duty ~35 % collected at checkout, de-minimis suspended). Boards ≈ 10/18–22.</t>
        </is>
      </c>
    </row>
    <row r="21">
      <c r="A21" s="4" t="n">
        <v>2</v>
      </c>
      <c r="B21" s="17" t="inlineStr">
        <is>
          <t>JLCPCB: boards 3–5 assembled too (per extra board)</t>
        </is>
      </c>
      <c r="C21" s="17" t="inlineStr">
        <is>
          <t>JLCPCB</t>
        </is>
      </c>
      <c r="D21" s="17" t="inlineStr">
        <is>
          <t>https://jlcpcb.com</t>
        </is>
      </c>
      <c r="E21" s="17" t="inlineStr">
        <is>
          <t>PCBA qty 5</t>
        </is>
      </c>
      <c r="F21" s="5">
        <f>$C$9/3</f>
        <v/>
      </c>
      <c r="G21" s="13">
        <f>MAX(0,$C$7-2)</f>
        <v/>
      </c>
      <c r="H21" s="13">
        <f>MAX(0,$C$7-2)</f>
        <v/>
      </c>
      <c r="I21" s="13">
        <f>MAX(0,$C$7-2)</f>
        <v/>
      </c>
      <c r="J21" s="5">
        <f>$F21*G21</f>
        <v/>
      </c>
      <c r="K21" s="5">
        <f>$F21*H21</f>
        <v/>
      </c>
      <c r="L21" s="5">
        <f>$F21*I21</f>
        <v/>
      </c>
      <c r="M21" s="18">
        <f>IF($C$5="A",G21,IF($C$5="B",H21,I21))</f>
        <v/>
      </c>
      <c r="N21" s="19">
        <f>$F21*M21</f>
        <v/>
      </c>
      <c r="O21" s="4" t="inlineStr">
        <is>
          <t>Ordered 10/8</t>
        </is>
      </c>
      <c r="P21" s="17" t="inlineStr">
        <is>
          <t>≈ $50–60 more for all 3, incl. duty. Qty follows the PCBA input (5 assembled → 3 extra).</t>
        </is>
      </c>
    </row>
    <row r="22">
      <c r="A22" s="15" t="n"/>
      <c r="B22" s="16" t="inlineStr">
        <is>
          <t>Shells</t>
        </is>
      </c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</row>
    <row r="23">
      <c r="A23" s="4" t="n">
        <v>3</v>
      </c>
      <c r="B23" s="17" t="inlineStr">
        <is>
          <t>Casio fx-115ES donor calculator (buy the missing ones)</t>
        </is>
      </c>
      <c r="C23" s="17" t="inlineStr">
        <is>
          <t>Walmart / Target / Staples</t>
        </is>
      </c>
      <c r="D23" s="17" t="inlineStr">
        <is>
          <t>https://www.walmart.com/ip/418401755</t>
        </is>
      </c>
      <c r="E23" s="17" t="inlineStr">
        <is>
          <t>fx-115ES PLUS (same edition)</t>
        </is>
      </c>
      <c r="F23" s="5">
        <f>$C$11</f>
        <v/>
      </c>
      <c r="G23" s="13">
        <f>MAX(0,$C$6-$C$10)</f>
        <v/>
      </c>
      <c r="H23" s="13">
        <f>MAX(0,$C$6-$C$10)</f>
        <v/>
      </c>
      <c r="I23" s="13">
        <f>MAX(0,$C$6-$C$10)</f>
        <v/>
      </c>
      <c r="J23" s="5">
        <f>$F23*G23</f>
        <v/>
      </c>
      <c r="K23" s="5">
        <f>$F23*H23</f>
        <v/>
      </c>
      <c r="L23" s="5">
        <f>$F23*I23</f>
        <v/>
      </c>
      <c r="M23" s="18">
        <f>IF($C$5="A",G23,IF($C$5="B",H23,I23))</f>
        <v/>
      </c>
      <c r="N23" s="19">
        <f>$F23*M23</f>
        <v/>
      </c>
      <c r="O23" s="4" t="inlineStr">
        <is>
          <t>Before boards land</t>
        </is>
      </c>
      <c r="P23" s="17" t="inlineStr">
        <is>
          <t>You own 2, buy 3. Check the box shows the same edition you measured (PLUS vs PLUS 2nd edition): posts and ribs can differ.</t>
        </is>
      </c>
    </row>
    <row r="24">
      <c r="A24" s="15" t="n"/>
      <c r="B24" s="16" t="inlineStr">
        <is>
          <t>Per-unit parts: CURRENT (known-good) vs GENERIC (cheaper, needs checking)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4" t="n">
        <v>4</v>
      </c>
      <c r="B25" s="17" t="inlineStr">
        <is>
          <t>Camera OV5640 AF for XIAO ESP32S3 Sense (CURRENT)</t>
        </is>
      </c>
      <c r="C25" s="17" t="inlineStr">
        <is>
          <t>Seeed / DigiKey</t>
        </is>
      </c>
      <c r="D25" s="17" t="inlineStr">
        <is>
          <t>https://www.seeedstudio.com/catalogsearch/result/?q=OV5640%20XIAO</t>
        </is>
      </c>
      <c r="E25" s="17" t="inlineStr">
        <is>
          <t>114993115</t>
        </is>
      </c>
      <c r="F25" s="9" t="n">
        <v>12.99</v>
      </c>
      <c r="G25" s="13">
        <f>G$15+IF(G$15&gt;0,$C$12,0)</f>
        <v/>
      </c>
      <c r="H25" s="13">
        <f>H$15+IF(H$15&gt;0,$C$12,0)</f>
        <v/>
      </c>
      <c r="I25" s="13">
        <f>I$15+IF(I$15&gt;0,$C$12,0)</f>
        <v/>
      </c>
      <c r="J25" s="5">
        <f>$F25*G25</f>
        <v/>
      </c>
      <c r="K25" s="5">
        <f>$F25*H25</f>
        <v/>
      </c>
      <c r="L25" s="5">
        <f>$F25*I25</f>
        <v/>
      </c>
      <c r="M25" s="18">
        <f>IF($C$5="A",G25,IF($C$5="B",H25,I25))</f>
        <v/>
      </c>
      <c r="N25" s="19">
        <f>$F25*M25</f>
        <v/>
      </c>
      <c r="O25" s="4" t="inlineStr">
        <is>
          <t>Now</t>
        </is>
      </c>
      <c r="P25" s="17" t="inlineStr">
        <is>
          <t>J1 (reversed) was worked out for THIS ribbon. Seeed $12.99; DigiKey US $11.99 was faster on 10/6. Avoid the $46 Newegg reseller.</t>
        </is>
      </c>
    </row>
    <row r="26">
      <c r="A26" s="4" t="n">
        <v>5</v>
      </c>
      <c r="B26" s="17" t="inlineStr">
        <is>
          <t>Camera OV5640 AF, generic 24-pin 0.5 mm DVP (GENERIC)</t>
        </is>
      </c>
      <c r="C26" s="17" t="inlineStr">
        <is>
          <t>AliExpress</t>
        </is>
      </c>
      <c r="D26" s="17" t="inlineStr">
        <is>
          <t>https://www.aliexpress.us/w/wholesale-ov5640-af-24pin.html</t>
        </is>
      </c>
      <c r="E26" s="17" t="inlineStr">
        <is>
          <t>OV5640 AF 24-pin</t>
        </is>
      </c>
      <c r="F26" s="9" t="n">
        <v>7</v>
      </c>
      <c r="G26" s="13">
        <f>G$16+IF(G$16&gt;0,$C$12,0)</f>
        <v/>
      </c>
      <c r="H26" s="13">
        <f>H$16+IF(H$16&gt;0,$C$12,0)</f>
        <v/>
      </c>
      <c r="I26" s="13">
        <f>I$16+IF(I$16&gt;0,$C$12,0)</f>
        <v/>
      </c>
      <c r="J26" s="5">
        <f>$F26*G26</f>
        <v/>
      </c>
      <c r="K26" s="5">
        <f>$F26*H26</f>
        <v/>
      </c>
      <c r="L26" s="5">
        <f>$F26*I26</f>
        <v/>
      </c>
      <c r="M26" s="18">
        <f>IF($C$5="A",G26,IF($C$5="B",H26,I26))</f>
        <v/>
      </c>
      <c r="N26" s="19">
        <f>$F26*M26</f>
        <v/>
      </c>
      <c r="O26" s="4" t="inlineStr">
        <is>
          <t>Now</t>
        </is>
      </c>
      <c r="P26" s="17" t="inlineStr">
        <is>
          <t>≈ $7 (estimate; listings $4.58–8). BEFORE plugging in: beep test E6, fingers 2 and 15 must beep to GND, and the ribbon length/contact side must match the Seeed one. Wrong pinout = no image (no damage).</t>
        </is>
      </c>
    </row>
    <row r="27">
      <c r="A27" s="4" t="n">
        <v>6</v>
      </c>
      <c r="B27" s="17" t="inlineStr">
        <is>
          <t>Waveshare 2.13" e-Paper raw panel V4, B/W, SSD1680 (CURRENT)</t>
        </is>
      </c>
      <c r="C27" s="17" t="inlineStr">
        <is>
          <t>Waveshare / Amazon Prime</t>
        </is>
      </c>
      <c r="D27" s="17" t="inlineStr">
        <is>
          <t>https://www.waveshare.com/2.13inch-e-Paper.htm</t>
        </is>
      </c>
      <c r="E27" s="17" t="inlineStr">
        <is>
          <t>SKU 12672</t>
        </is>
      </c>
      <c r="F27" s="9" t="n">
        <v>6.99</v>
      </c>
      <c r="G27" s="13">
        <f>G$15+IF(G$15&gt;0,$C$12,0)</f>
        <v/>
      </c>
      <c r="H27" s="13">
        <f>H$15+IF(H$15&gt;0,$C$12,0)</f>
        <v/>
      </c>
      <c r="I27" s="13">
        <f>I$15+IF(I$15&gt;0,$C$12,0)</f>
        <v/>
      </c>
      <c r="J27" s="5">
        <f>$F27*G27</f>
        <v/>
      </c>
      <c r="K27" s="5">
        <f>$F27*H27</f>
        <v/>
      </c>
      <c r="L27" s="5">
        <f>$F27*I27</f>
        <v/>
      </c>
      <c r="M27" s="18">
        <f>IF($C$5="A",G27,IF($C$5="B",H27,I27))</f>
        <v/>
      </c>
      <c r="N27" s="19">
        <f>$F27*M27</f>
        <v/>
      </c>
      <c r="O27" s="4" t="inlineStr">
        <is>
          <t>Now</t>
        </is>
      </c>
      <c r="P27" s="17" t="inlineStr">
        <is>
          <t>$6.31–6.99. You also own 1 in your HAT: lower the qty by 1 if you will use it.</t>
        </is>
      </c>
    </row>
    <row r="28">
      <c r="A28" s="4" t="n">
        <v>7</v>
      </c>
      <c r="B28" s="17" t="inlineStr">
        <is>
          <t>Good Display GDEY0213B74 2.13" e-paper (GENERIC)</t>
        </is>
      </c>
      <c r="C28" s="17" t="inlineStr">
        <is>
          <t>AliExpress / Good Display</t>
        </is>
      </c>
      <c r="D28" s="17" t="inlineStr">
        <is>
          <t>https://www.good-display.com/product/391.html</t>
        </is>
      </c>
      <c r="E28" s="17" t="inlineStr">
        <is>
          <t>GDEY0213B74</t>
        </is>
      </c>
      <c r="F28" s="9" t="n">
        <v>4.5</v>
      </c>
      <c r="G28" s="13">
        <f>G$16+IF(G$16&gt;0,$C$12,0)</f>
        <v/>
      </c>
      <c r="H28" s="13">
        <f>H$16+IF(H$16&gt;0,$C$12,0)</f>
        <v/>
      </c>
      <c r="I28" s="13">
        <f>I$16+IF(I$16&gt;0,$C$12,0)</f>
        <v/>
      </c>
      <c r="J28" s="5">
        <f>$F28*G28</f>
        <v/>
      </c>
      <c r="K28" s="5">
        <f>$F28*H28</f>
        <v/>
      </c>
      <c r="L28" s="5">
        <f>$F28*I28</f>
        <v/>
      </c>
      <c r="M28" s="18">
        <f>IF($C$5="A",G28,IF($C$5="B",H28,I28))</f>
        <v/>
      </c>
      <c r="N28" s="19">
        <f>$F28*M28</f>
        <v/>
      </c>
      <c r="O28" s="4" t="inlineStr">
        <is>
          <t>Now</t>
        </is>
      </c>
      <c r="P28" s="17" t="inlineStr">
        <is>
          <t>≈ $4.50 (estimate). Same 250 × 122 SSD1680 family, 24-pin 0.5 mm FPC, same pin order as the V4: compare one with the Waveshare panel before relying on it.</t>
        </is>
      </c>
    </row>
    <row r="29">
      <c r="A29" s="4" t="n">
        <v>8</v>
      </c>
      <c r="B29" s="17" t="inlineStr">
        <is>
          <t>LiPo 3.7 V 150 mAh JST-PH, 26 × 19.75 × 3.8 mm (CURRENT)</t>
        </is>
      </c>
      <c r="C29" s="17" t="inlineStr">
        <is>
          <t>Adafruit</t>
        </is>
      </c>
      <c r="D29" s="17" t="inlineStr">
        <is>
          <t>https://www.adafruit.com/product/1317</t>
        </is>
      </c>
      <c r="E29" s="17" t="inlineStr">
        <is>
          <t>#1317</t>
        </is>
      </c>
      <c r="F29" s="9" t="n">
        <v>5.95</v>
      </c>
      <c r="G29" s="13">
        <f>G$15+IF(G$15&gt;0,$C$12,0)</f>
        <v/>
      </c>
      <c r="H29" s="13">
        <f>H$15+IF(H$15&gt;0,$C$12,0)</f>
        <v/>
      </c>
      <c r="I29" s="13">
        <f>I$15+IF(I$15&gt;0,$C$12,0)</f>
        <v/>
      </c>
      <c r="J29" s="5">
        <f>$F29*G29</f>
        <v/>
      </c>
      <c r="K29" s="5">
        <f>$F29*H29</f>
        <v/>
      </c>
      <c r="L29" s="5">
        <f>$F29*I29</f>
        <v/>
      </c>
      <c r="M29" s="18">
        <f>IF($C$5="A",G29,IF($C$5="B",H29,I29))</f>
        <v/>
      </c>
      <c r="N29" s="19">
        <f>$F29*M29</f>
        <v/>
      </c>
      <c r="O29" s="4" t="inlineStr">
        <is>
          <t>Now</t>
        </is>
      </c>
      <c r="P29" s="17" t="inlineStr">
        <is>
          <t>Fits with no grinding. Meter-check polarity before plugging in (red = + on J4 pad 2).</t>
        </is>
      </c>
    </row>
    <row r="30">
      <c r="A30" s="4" t="n">
        <v>9</v>
      </c>
      <c r="B30" s="17" t="inlineStr">
        <is>
          <t>LiPo 302030 150 mAh with PCM, JST-PH 2.0 (GENERIC)</t>
        </is>
      </c>
      <c r="C30" s="17" t="inlineStr">
        <is>
          <t>AliExpress / Amazon</t>
        </is>
      </c>
      <c r="D30" s="17" t="inlineStr">
        <is>
          <t>https://www.aliexpress.us/w/wholesale-302030-lipo-jst-ph.html</t>
        </is>
      </c>
      <c r="E30" s="17" t="inlineStr">
        <is>
          <t>302030</t>
        </is>
      </c>
      <c r="F30" s="9" t="n">
        <v>3</v>
      </c>
      <c r="G30" s="13">
        <f>G$16+IF(G$16&gt;0,$C$12,0)</f>
        <v/>
      </c>
      <c r="H30" s="13">
        <f>H$16+IF(H$16&gt;0,$C$12,0)</f>
        <v/>
      </c>
      <c r="I30" s="13">
        <f>I$16+IF(I$16&gt;0,$C$12,0)</f>
        <v/>
      </c>
      <c r="J30" s="5">
        <f>$F30*G30</f>
        <v/>
      </c>
      <c r="K30" s="5">
        <f>$F30*H30</f>
        <v/>
      </c>
      <c r="L30" s="5">
        <f>$F30*I30</f>
        <v/>
      </c>
      <c r="M30" s="18">
        <f>IF($C$5="A",G30,IF($C$5="B",H30,I30))</f>
        <v/>
      </c>
      <c r="N30" s="19">
        <f>$F30*M30</f>
        <v/>
      </c>
      <c r="O30" s="4" t="inlineStr">
        <is>
          <t>Now</t>
        </is>
      </c>
      <c r="P30" s="17" t="inlineStr">
        <is>
          <t>≈ $3 (estimate). 30 × 20 × 3 mm fits the 33.5 × 20.7 × 3.8 envelope. Generic JST leads are OFTEN REVERSED: meter it, swap pins if needed. Must have a protection board (PCM). Candidate: Taiwoo TW302030 (140 mAh, 30 × 20 × 3.0, Alibaba): CAD fit-checked 2026-10-10 (v14 + v15), it fits when placed 1 mm LEFT of the #1317 position (left edge ~1.7 mm from the corner post, top edge 0.8 mm from the lip); same tape L. Order: PCM, JST-PH 2.0 red (+) on pin 2, 50–80 mm leads, UN38.3 + MSDS (hardware/enclosure/final_assembly/battery_upgrade.md).</t>
        </is>
      </c>
    </row>
    <row r="31">
      <c r="A31" s="4" t="n">
        <v>10</v>
      </c>
      <c r="B31" s="17" t="inlineStr">
        <is>
          <t>Magnetic connector, 4-pin right angle, both halves (all options)</t>
        </is>
      </c>
      <c r="C31" s="17" t="inlineStr">
        <is>
          <t>Adafruit</t>
        </is>
      </c>
      <c r="D31" s="17" t="inlineStr">
        <is>
          <t>https://www.adafruit.com/product/5358</t>
        </is>
      </c>
      <c r="E31" s="17" t="inlineStr">
        <is>
          <t>#5358</t>
        </is>
      </c>
      <c r="F31" s="9" t="n">
        <v>6.5</v>
      </c>
      <c r="G31" s="13">
        <f>$C$6+$C$12</f>
        <v/>
      </c>
      <c r="H31" s="13">
        <f>$C$6+$C$12</f>
        <v/>
      </c>
      <c r="I31" s="13">
        <f>$C$6+$C$12</f>
        <v/>
      </c>
      <c r="J31" s="5">
        <f>$F31*G31</f>
        <v/>
      </c>
      <c r="K31" s="5">
        <f>$F31*H31</f>
        <v/>
      </c>
      <c r="L31" s="5">
        <f>$F31*I31</f>
        <v/>
      </c>
      <c r="M31" s="18">
        <f>IF($C$5="A",G31,IF($C$5="B",H31,I31))</f>
        <v/>
      </c>
      <c r="N31" s="19">
        <f>$F31*M31</f>
        <v/>
      </c>
      <c r="O31" s="4" t="inlineStr">
        <is>
          <t>Now</t>
        </is>
      </c>
      <c r="P31" s="17" t="inlineStr">
        <is>
          <t>Legs straightened into J3. Meter-check against the cable before gluing. Alternate (2026-10-10, from Nirav): Yiwei MG04254FRA1S1N is the same part as #5358. Not price-checked.</t>
        </is>
      </c>
    </row>
    <row r="32">
      <c r="A32" s="4" t="n">
        <v>11</v>
      </c>
      <c r="B32" s="17" t="inlineStr">
        <is>
          <t>Magnetic USB charging cable for the 4-pin (all options, 1 per tester)</t>
        </is>
      </c>
      <c r="C32" s="17" t="inlineStr">
        <is>
          <t>Adafruit</t>
        </is>
      </c>
      <c r="D32" s="17" t="inlineStr">
        <is>
          <t>https://www.adafruit.com/product/5412</t>
        </is>
      </c>
      <c r="E32" s="17" t="inlineStr">
        <is>
          <t>#5412</t>
        </is>
      </c>
      <c r="F32" s="9" t="n">
        <v>4.95</v>
      </c>
      <c r="G32" s="13">
        <f>$C$6</f>
        <v/>
      </c>
      <c r="H32" s="13">
        <f>$C$6</f>
        <v/>
      </c>
      <c r="I32" s="13">
        <f>$C$6</f>
        <v/>
      </c>
      <c r="J32" s="5">
        <f>$F32*G32</f>
        <v/>
      </c>
      <c r="K32" s="5">
        <f>$F32*H32</f>
        <v/>
      </c>
      <c r="L32" s="5">
        <f>$F32*I32</f>
        <v/>
      </c>
      <c r="M32" s="18">
        <f>IF($C$5="A",G32,IF($C$5="B",H32,I32))</f>
        <v/>
      </c>
      <c r="N32" s="19">
        <f>$F32*M32</f>
        <v/>
      </c>
      <c r="O32" s="4" t="inlineStr">
        <is>
          <t>Now (low stock)</t>
        </is>
      </c>
      <c r="P32" s="17" t="inlineStr">
        <is>
          <t>Charges AND flashes. Stock was ~35 on 10/6: order first. Backup: Jameco / DigiKey. Alternate (2026-10-10, from Nirav): Yiwei MG0425-UB-60-4P = equivalent of #5412; reads GND, D+, D−, V+ from its N end, like #5412. Same J3 order (1 VBUS, 2 D−, 3 D+, 4 GND, N end at pin 1) and the same meter check before gluing. Not price-checked.</t>
        </is>
      </c>
    </row>
    <row r="33">
      <c r="A33" s="15" t="n"/>
      <c r="B33" s="16" t="inlineStr">
        <is>
          <t>Shipping</t>
        </is>
      </c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</row>
    <row r="34">
      <c r="A34" s="4" t="n">
        <v>12</v>
      </c>
      <c r="B34" s="17" t="inlineStr">
        <is>
          <t>Adafruit shipping (UPS 2nd Day), one box</t>
        </is>
      </c>
      <c r="C34" s="17" t="inlineStr">
        <is>
          <t>Adafruit</t>
        </is>
      </c>
      <c r="D34" s="17" t="inlineStr">
        <is>
          <t>https://www.adafruit.com</t>
        </is>
      </c>
      <c r="E34" s="17" t="inlineStr">
        <is>
          <t>—</t>
        </is>
      </c>
      <c r="F34" s="9" t="n">
        <v>15</v>
      </c>
      <c r="G34" s="13">
        <f>1</f>
        <v/>
      </c>
      <c r="H34" s="13">
        <f>1</f>
        <v/>
      </c>
      <c r="I34" s="13">
        <f>1</f>
        <v/>
      </c>
      <c r="J34" s="5">
        <f>$F34*G34</f>
        <v/>
      </c>
      <c r="K34" s="5">
        <f>$F34*H34</f>
        <v/>
      </c>
      <c r="L34" s="5">
        <f>$F34*I34</f>
        <v/>
      </c>
      <c r="M34" s="18">
        <f>IF($C$5="A",G34,IF($C$5="B",H34,I34))</f>
        <v/>
      </c>
      <c r="N34" s="19">
        <f>$F34*M34</f>
        <v/>
      </c>
      <c r="O34" s="4" t="inlineStr">
        <is>
          <t>Now</t>
        </is>
      </c>
      <c r="P34" s="17" t="inlineStr">
        <is>
          <t>Estimate. The v15 panels now come from BuyDisplay (sheet 'v15-LCD prototype'), not in this box.</t>
        </is>
      </c>
    </row>
    <row r="35">
      <c r="A35" s="4" t="n">
        <v>13</v>
      </c>
      <c r="B35" s="17" t="inlineStr">
        <is>
          <t>Seeed / DigiKey shipping (only if current cameras)</t>
        </is>
      </c>
      <c r="C35" s="17" t="inlineStr">
        <is>
          <t>Seeed</t>
        </is>
      </c>
      <c r="D35" s="17" t="inlineStr">
        <is>
          <t>https://www.seeedstudio.com</t>
        </is>
      </c>
      <c r="E35" s="17" t="inlineStr">
        <is>
          <t>—</t>
        </is>
      </c>
      <c r="F35" s="9" t="n">
        <v>12</v>
      </c>
      <c r="G35" s="13">
        <f>IF(G$15&gt;0,1,0)</f>
        <v/>
      </c>
      <c r="H35" s="13">
        <f>IF(H$15&gt;0,1,0)</f>
        <v/>
      </c>
      <c r="I35" s="13">
        <f>IF(I$15&gt;0,1,0)</f>
        <v/>
      </c>
      <c r="J35" s="5">
        <f>$F35*G35</f>
        <v/>
      </c>
      <c r="K35" s="5">
        <f>$F35*H35</f>
        <v/>
      </c>
      <c r="L35" s="5">
        <f>$F35*I35</f>
        <v/>
      </c>
      <c r="M35" s="18">
        <f>IF($C$5="A",G35,IF($C$5="B",H35,I35))</f>
        <v/>
      </c>
      <c r="N35" s="19">
        <f>$F35*M35</f>
        <v/>
      </c>
      <c r="O35" s="4" t="inlineStr">
        <is>
          <t>Now</t>
        </is>
      </c>
      <c r="P35" s="17" t="inlineStr">
        <is>
          <t>Estimate.</t>
        </is>
      </c>
    </row>
    <row r="36">
      <c r="A36" s="4" t="n">
        <v>14</v>
      </c>
      <c r="B36" s="17" t="inlineStr">
        <is>
          <t>Waveshare shipping (only if current screens)</t>
        </is>
      </c>
      <c r="C36" s="17" t="inlineStr">
        <is>
          <t>Waveshare</t>
        </is>
      </c>
      <c r="D36" s="17" t="inlineStr">
        <is>
          <t>https://www.waveshare.com</t>
        </is>
      </c>
      <c r="E36" s="17" t="inlineStr">
        <is>
          <t>—</t>
        </is>
      </c>
      <c r="F36" s="9" t="n">
        <v>20</v>
      </c>
      <c r="G36" s="13">
        <f>IF(G$15&gt;0,1,0)</f>
        <v/>
      </c>
      <c r="H36" s="13">
        <f>IF(H$15&gt;0,1,0)</f>
        <v/>
      </c>
      <c r="I36" s="13">
        <f>IF(I$15&gt;0,1,0)</f>
        <v/>
      </c>
      <c r="J36" s="5">
        <f>$F36*G36</f>
        <v/>
      </c>
      <c r="K36" s="5">
        <f>$F36*H36</f>
        <v/>
      </c>
      <c r="L36" s="5">
        <f>$F36*I36</f>
        <v/>
      </c>
      <c r="M36" s="18">
        <f>IF($C$5="A",G36,IF($C$5="B",H36,I36))</f>
        <v/>
      </c>
      <c r="N36" s="19">
        <f>$F36*M36</f>
        <v/>
      </c>
      <c r="O36" s="4" t="inlineStr">
        <is>
          <t>Now</t>
        </is>
      </c>
      <c r="P36" s="17" t="inlineStr">
        <is>
          <t>Estimate; $0 with Amazon Prime.</t>
        </is>
      </c>
    </row>
    <row r="37">
      <c r="A37" s="4" t="n">
        <v>15</v>
      </c>
      <c r="B37" s="17" t="inlineStr">
        <is>
          <t>AliExpress shipping (only if generic parts)</t>
        </is>
      </c>
      <c r="C37" s="17" t="inlineStr">
        <is>
          <t>AliExpress</t>
        </is>
      </c>
      <c r="D37" s="17" t="inlineStr">
        <is>
          <t>https://www.aliexpress.us</t>
        </is>
      </c>
      <c r="E37" s="17" t="inlineStr">
        <is>
          <t>—</t>
        </is>
      </c>
      <c r="F37" s="9" t="n">
        <v>10</v>
      </c>
      <c r="G37" s="13">
        <f>IF(G$16&gt;0,1,0)</f>
        <v/>
      </c>
      <c r="H37" s="13">
        <f>IF(H$16&gt;0,1,0)</f>
        <v/>
      </c>
      <c r="I37" s="13">
        <f>IF(I$16&gt;0,1,0)</f>
        <v/>
      </c>
      <c r="J37" s="5">
        <f>$F37*G37</f>
        <v/>
      </c>
      <c r="K37" s="5">
        <f>$F37*H37</f>
        <v/>
      </c>
      <c r="L37" s="5">
        <f>$F37*I37</f>
        <v/>
      </c>
      <c r="M37" s="18">
        <f>IF($C$5="A",G37,IF($C$5="B",H37,I37))</f>
        <v/>
      </c>
      <c r="N37" s="19">
        <f>$F37*M37</f>
        <v/>
      </c>
      <c r="O37" s="4" t="inlineStr">
        <is>
          <t>Now</t>
        </is>
      </c>
      <c r="P37" s="17" t="inlineStr">
        <is>
          <t>Estimate (Choice shipping, 7–15 days). Batteries may ship separately.</t>
        </is>
      </c>
    </row>
    <row r="38">
      <c r="A38" s="15" t="n"/>
      <c r="B38" s="16" t="inlineStr">
        <is>
          <t>Supplies and tools (same for every option; ≈ $61)</t>
        </is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</row>
    <row r="39">
      <c r="A39" s="4" t="n">
        <v>16</v>
      </c>
      <c r="B39" s="17" t="inlineStr">
        <is>
          <t>Kapton tape (10–20 mm)</t>
        </is>
      </c>
      <c r="C39" s="17" t="inlineStr">
        <is>
          <t>Amazon</t>
        </is>
      </c>
      <c r="D39" s="17" t="inlineStr">
        <is>
          <t>https://www.amazon.com/s?k=kapton+tape+10mm</t>
        </is>
      </c>
      <c r="E39" s="17" t="inlineStr">
        <is>
          <t>—</t>
        </is>
      </c>
      <c r="F39" s="9" t="n">
        <v>9</v>
      </c>
      <c r="G39" s="12" t="n">
        <v>1</v>
      </c>
      <c r="H39" s="13">
        <f>G39</f>
        <v/>
      </c>
      <c r="I39" s="13">
        <f>G39</f>
        <v/>
      </c>
      <c r="J39" s="5">
        <f>$F39*G39</f>
        <v/>
      </c>
      <c r="K39" s="5">
        <f>$F39*H39</f>
        <v/>
      </c>
      <c r="L39" s="5">
        <f>$F39*I39</f>
        <v/>
      </c>
      <c r="M39" s="18">
        <f>IF($C$5="A",G39,IF($C$5="B",H39,I39))</f>
        <v/>
      </c>
      <c r="N39" s="19">
        <f>$F39*M39</f>
        <v/>
      </c>
      <c r="O39" s="4" t="inlineStr">
        <is>
          <t>This week</t>
        </is>
      </c>
      <c r="P39" s="17" t="inlineStr">
        <is>
          <t>Insulates the battery, camera and e-paper back. Estimate.</t>
        </is>
      </c>
    </row>
    <row r="40">
      <c r="A40" s="4" t="n">
        <v>17</v>
      </c>
      <c r="B40" s="17" t="inlineStr">
        <is>
          <t>Thin double-sided tape 0.1 mm (camera, battery) + about 0.15 mm for the e-paper</t>
        </is>
      </c>
      <c r="C40" s="17" t="inlineStr">
        <is>
          <t>Amazon</t>
        </is>
      </c>
      <c r="D40" s="17" t="inlineStr">
        <is>
          <t>https://www.amazon.com/s?k=thin+double+sided+tape+0.1mm</t>
        </is>
      </c>
      <c r="E40" s="17" t="inlineStr">
        <is>
          <t>—</t>
        </is>
      </c>
      <c r="F40" s="9" t="n">
        <v>10</v>
      </c>
      <c r="G40" s="12" t="n">
        <v>1</v>
      </c>
      <c r="H40" s="13">
        <f>G40</f>
        <v/>
      </c>
      <c r="I40" s="13">
        <f>G40</f>
        <v/>
      </c>
      <c r="J40" s="5">
        <f>$F40*G40</f>
        <v/>
      </c>
      <c r="K40" s="5">
        <f>$F40*H40</f>
        <v/>
      </c>
      <c r="L40" s="5">
        <f>$F40*I40</f>
        <v/>
      </c>
      <c r="M40" s="18">
        <f>IF($C$5="A",G40,IF($C$5="B",H40,I40))</f>
        <v/>
      </c>
      <c r="N40" s="19">
        <f>$F40*M40</f>
        <v/>
      </c>
      <c r="O40" s="4" t="inlineStr">
        <is>
          <t>This week</t>
        </is>
      </c>
      <c r="P40" s="17" t="inlineStr">
        <is>
          <t>No foam anywhere: only 0.3 mm above the battery and 0.5 mm above the lens. Estimate.</t>
        </is>
      </c>
    </row>
    <row r="41">
      <c r="A41" s="4" t="n">
        <v>18</v>
      </c>
      <c r="B41" s="17" t="inlineStr">
        <is>
          <t>Plastic glue / 2-part epoxy</t>
        </is>
      </c>
      <c r="C41" s="17" t="inlineStr">
        <is>
          <t>Hardware store</t>
        </is>
      </c>
      <c r="D41" s="17" t="inlineStr">
        <is>
          <t>—</t>
        </is>
      </c>
      <c r="E41" s="17" t="inlineStr">
        <is>
          <t>—</t>
        </is>
      </c>
      <c r="F41" s="9" t="n">
        <v>6</v>
      </c>
      <c r="G41" s="12" t="n">
        <v>1</v>
      </c>
      <c r="H41" s="13">
        <f>G41</f>
        <v/>
      </c>
      <c r="I41" s="13">
        <f>G41</f>
        <v/>
      </c>
      <c r="J41" s="5">
        <f>$F41*G41</f>
        <v/>
      </c>
      <c r="K41" s="5">
        <f>$F41*H41</f>
        <v/>
      </c>
      <c r="L41" s="5">
        <f>$F41*I41</f>
        <v/>
      </c>
      <c r="M41" s="18">
        <f>IF($C$5="A",G41,IF($C$5="B",H41,I41))</f>
        <v/>
      </c>
      <c r="N41" s="19">
        <f>$F41*M41</f>
        <v/>
      </c>
      <c r="O41" s="4" t="inlineStr">
        <is>
          <t>This week</t>
        </is>
      </c>
      <c r="P41" s="17" t="inlineStr">
        <is>
          <t>Glues the magnet piece into the top-wall slot. Estimate.</t>
        </is>
      </c>
    </row>
    <row r="42">
      <c r="A42" s="4" t="n">
        <v>19</v>
      </c>
      <c r="B42" s="17" t="inlineStr">
        <is>
          <t>7 mm drill bit (9/32" OK) + 2–3 mm pilot bit + deburring tool</t>
        </is>
      </c>
      <c r="C42" s="17" t="inlineStr">
        <is>
          <t>Hardware store</t>
        </is>
      </c>
      <c r="D42" s="17" t="inlineStr">
        <is>
          <t>—</t>
        </is>
      </c>
      <c r="E42" s="17" t="inlineStr">
        <is>
          <t>—</t>
        </is>
      </c>
      <c r="F42" s="9" t="n">
        <v>12</v>
      </c>
      <c r="G42" s="12" t="n">
        <v>1</v>
      </c>
      <c r="H42" s="13">
        <f>G42</f>
        <v/>
      </c>
      <c r="I42" s="13">
        <f>G42</f>
        <v/>
      </c>
      <c r="J42" s="5">
        <f>$F42*G42</f>
        <v/>
      </c>
      <c r="K42" s="5">
        <f>$F42*H42</f>
        <v/>
      </c>
      <c r="L42" s="5">
        <f>$F42*I42</f>
        <v/>
      </c>
      <c r="M42" s="18">
        <f>IF($C$5="A",G42,IF($C$5="B",H42,I42))</f>
        <v/>
      </c>
      <c r="N42" s="19">
        <f>$F42*M42</f>
        <v/>
      </c>
      <c r="O42" s="4" t="inlineStr">
        <is>
          <t>This week</t>
        </is>
      </c>
      <c r="P42" s="17" t="inlineStr">
        <is>
          <t>Camera window in the back cover at KiCad (150, 95.1): pilot first, then 7 mm, then deburr. Estimate.</t>
        </is>
      </c>
    </row>
    <row r="43">
      <c r="A43" s="4" t="n">
        <v>20</v>
      </c>
      <c r="B43" s="17" t="inlineStr">
        <is>
          <t>Matte black vinyl sheet (window mask, 47.75 × 22.90 mm opening)</t>
        </is>
      </c>
      <c r="C43" s="17" t="inlineStr">
        <is>
          <t>Amazon</t>
        </is>
      </c>
      <c r="D43" s="17" t="inlineStr">
        <is>
          <t>https://www.amazon.com/s?k=matte+black+adhesive+vinyl+sheet</t>
        </is>
      </c>
      <c r="E43" s="17" t="inlineStr">
        <is>
          <t>—</t>
        </is>
      </c>
      <c r="F43" s="9" t="n">
        <v>8</v>
      </c>
      <c r="G43" s="12" t="n">
        <v>1</v>
      </c>
      <c r="H43" s="13">
        <f>G43</f>
        <v/>
      </c>
      <c r="I43" s="13">
        <f>G43</f>
        <v/>
      </c>
      <c r="J43" s="5">
        <f>$F43*G43</f>
        <v/>
      </c>
      <c r="K43" s="5">
        <f>$F43*H43</f>
        <v/>
      </c>
      <c r="L43" s="5">
        <f>$F43*I43</f>
        <v/>
      </c>
      <c r="M43" s="18">
        <f>IF($C$5="A",G43,IF($C$5="B",H43,I43))</f>
        <v/>
      </c>
      <c r="N43" s="19">
        <f>$F43*M43</f>
        <v/>
      </c>
      <c r="O43" s="4" t="inlineStr">
        <is>
          <t>This week</t>
        </is>
      </c>
      <c r="P43" s="17" t="inlineStr">
        <is>
          <t>Hides the board edge beside the e-paper glass (hardware/enclosure/final_assembly/window_mask.md). Estimate.</t>
        </is>
      </c>
    </row>
    <row r="44">
      <c r="A44" s="4" t="n">
        <v>21</v>
      </c>
      <c r="B44" s="17" t="inlineStr">
        <is>
          <t>Isopropyl alcohol 99 %</t>
        </is>
      </c>
      <c r="C44" s="17" t="inlineStr">
        <is>
          <t>Amazon / pharmacy</t>
        </is>
      </c>
      <c r="D44" s="17" t="inlineStr">
        <is>
          <t>https://www.amazon.com/s?k=99%25+isopropyl+alcohol</t>
        </is>
      </c>
      <c r="E44" s="17" t="inlineStr">
        <is>
          <t>—</t>
        </is>
      </c>
      <c r="F44" s="9" t="n">
        <v>6</v>
      </c>
      <c r="G44" s="12" t="n">
        <v>1</v>
      </c>
      <c r="H44" s="13">
        <f>G44</f>
        <v/>
      </c>
      <c r="I44" s="13">
        <f>G44</f>
        <v/>
      </c>
      <c r="J44" s="5">
        <f>$F44*G44</f>
        <v/>
      </c>
      <c r="K44" s="5">
        <f>$F44*H44</f>
        <v/>
      </c>
      <c r="L44" s="5">
        <f>$F44*I44</f>
        <v/>
      </c>
      <c r="M44" s="18">
        <f>IF($C$5="A",G44,IF($C$5="B",H44,I44))</f>
        <v/>
      </c>
      <c r="N44" s="19">
        <f>$F44*M44</f>
        <v/>
      </c>
      <c r="O44" s="4" t="inlineStr">
        <is>
          <t>This week</t>
        </is>
      </c>
      <c r="P44" s="17" t="inlineStr">
        <is>
          <t>Cleans the ENIG pads and the window. Estimate.</t>
        </is>
      </c>
    </row>
    <row r="45">
      <c r="A45" s="4" t="n">
        <v>22</v>
      </c>
      <c r="B45" s="17" t="inlineStr">
        <is>
          <t>Safety glasses + dust mask</t>
        </is>
      </c>
      <c r="C45" s="17" t="inlineStr">
        <is>
          <t>Hardware store</t>
        </is>
      </c>
      <c r="D45" s="17" t="inlineStr">
        <is>
          <t>—</t>
        </is>
      </c>
      <c r="E45" s="17" t="inlineStr">
        <is>
          <t>—</t>
        </is>
      </c>
      <c r="F45" s="9" t="n">
        <v>10</v>
      </c>
      <c r="G45" s="12" t="n">
        <v>1</v>
      </c>
      <c r="H45" s="13">
        <f>G45</f>
        <v/>
      </c>
      <c r="I45" s="13">
        <f>G45</f>
        <v/>
      </c>
      <c r="J45" s="5">
        <f>$F45*G45</f>
        <v/>
      </c>
      <c r="K45" s="5">
        <f>$F45*H45</f>
        <v/>
      </c>
      <c r="L45" s="5">
        <f>$F45*I45</f>
        <v/>
      </c>
      <c r="M45" s="18">
        <f>IF($C$5="A",G45,IF($C$5="B",H45,I45))</f>
        <v/>
      </c>
      <c r="N45" s="19">
        <f>$F45*M45</f>
        <v/>
      </c>
      <c r="O45" s="4" t="inlineStr">
        <is>
          <t>This week</t>
        </is>
      </c>
      <c r="P45" s="17" t="inlineStr">
        <is>
          <t>Grinding and drilling (ABS dust). Estimate.</t>
        </is>
      </c>
    </row>
    <row r="46">
      <c r="A46" s="4" t="n">
        <v>23</v>
      </c>
      <c r="B46" s="17" t="inlineStr">
        <is>
          <t>USB-A 5 V charger or USB-C→USB-A adapter (only if you have none)</t>
        </is>
      </c>
      <c r="C46" s="17" t="inlineStr">
        <is>
          <t>Amazon</t>
        </is>
      </c>
      <c r="D46" s="17" t="inlineStr">
        <is>
          <t>https://www.amazon.com/s?k=usb-a+5v+wall+charger</t>
        </is>
      </c>
      <c r="E46" s="17" t="inlineStr">
        <is>
          <t>—</t>
        </is>
      </c>
      <c r="F46" s="9" t="n">
        <v>8</v>
      </c>
      <c r="G46" s="12" t="n">
        <v>0</v>
      </c>
      <c r="H46" s="13">
        <f>G46</f>
        <v/>
      </c>
      <c r="I46" s="13">
        <f>G46</f>
        <v/>
      </c>
      <c r="J46" s="5">
        <f>$F46*G46</f>
        <v/>
      </c>
      <c r="K46" s="5">
        <f>$F46*H46</f>
        <v/>
      </c>
      <c r="L46" s="5">
        <f>$F46*I46</f>
        <v/>
      </c>
      <c r="M46" s="18">
        <f>IF($C$5="A",G46,IF($C$5="B",H46,I46))</f>
        <v/>
      </c>
      <c r="N46" s="19">
        <f>$F46*M46</f>
        <v/>
      </c>
      <c r="O46" s="4" t="inlineStr">
        <is>
          <t>This week</t>
        </is>
      </c>
      <c r="P46" s="17" t="inlineStr">
        <is>
          <t>Qty 0 = you have one (that is how the $61 is counted). Set 1 if not.</t>
        </is>
      </c>
    </row>
    <row r="47"/>
    <row r="48">
      <c r="B48" s="7" t="inlineStr">
        <is>
          <t>TOTAL for 5 testers</t>
        </is>
      </c>
      <c r="J48" s="8">
        <f>SUM(J20:J46)</f>
        <v/>
      </c>
      <c r="K48" s="8">
        <f>SUM(K20:K46)</f>
        <v/>
      </c>
      <c r="L48" s="8">
        <f>SUM(L20:L46)</f>
        <v/>
      </c>
      <c r="N48" s="8">
        <f>SUM(N20:N46)</f>
        <v/>
      </c>
      <c r="P48" s="2" t="inlineStr">
        <is>
          <t>Plan figures: A ≈ $670, B ≈ $575, C ≈ $670 (recommended C).</t>
        </is>
      </c>
    </row>
    <row r="49">
      <c r="B49" s="4" t="inlineStr">
        <is>
          <t>…of which the JLCPCB order (already paid on 10/8) [2026-10-11: NOT ORDERED - v14 was never ordered]</t>
        </is>
      </c>
      <c r="J49" s="5">
        <f>J20+J21</f>
        <v/>
      </c>
      <c r="K49" s="5">
        <f>K20+K21</f>
        <v/>
      </c>
      <c r="L49" s="5">
        <f>L20+L21</f>
        <v/>
      </c>
      <c r="N49" s="5">
        <f>N20+N21</f>
        <v/>
      </c>
    </row>
    <row r="50">
      <c r="B50" s="4" t="inlineStr">
        <is>
          <t>…still to buy (everything else)</t>
        </is>
      </c>
      <c r="J50" s="5">
        <f>J48-J49</f>
        <v/>
      </c>
      <c r="K50" s="5">
        <f>K48-K49</f>
        <v/>
      </c>
      <c r="L50" s="5">
        <f>L48-L49</f>
        <v/>
      </c>
      <c r="N50" s="5">
        <f>N48-N49</f>
        <v/>
      </c>
    </row>
    <row r="51">
      <c r="B51" s="4" t="inlineStr">
        <is>
          <t>Per tester (total ÷ testers)</t>
        </is>
      </c>
      <c r="J51" s="5">
        <f>J48/$C$6</f>
        <v/>
      </c>
      <c r="K51" s="5">
        <f>K48/$C$6</f>
        <v/>
      </c>
      <c r="L51" s="5">
        <f>L48/$C$6</f>
        <v/>
      </c>
      <c r="N51" s="5">
        <f>N48/$C$6</f>
        <v/>
      </c>
    </row>
    <row r="52">
      <c r="B52" s="4" t="inlineStr">
        <is>
          <t>Chosen option</t>
        </is>
      </c>
      <c r="N52" s="7">
        <f>$C$5</f>
        <v/>
      </c>
    </row>
    <row r="53"/>
    <row r="54">
      <c r="A54" s="2" t="inlineStr">
        <is>
          <t>Not on this list (you already have them): 2 Casio fx-115ES calculators, calipers, multimeter, 1 Waveshare e-paper panel (in the HAT), a rotary tool for the grinds. Casio screws are reused.</t>
        </is>
      </c>
    </row>
    <row r="55">
      <c r="A55" s="2" t="inlineStr">
        <is>
          <t>Option C detail: units 1–3 get the known-good Seeed/Waveshare/Adafruit parts so the first builds isolate board problems; units 4–5 test the generic parts that bulk will need. Each kind gets 1 spare.</t>
        </is>
      </c>
    </row>
  </sheetData>
  <dataValidations count="1">
    <dataValidation sqref="C5" showDropDown="0" showInputMessage="0" showErrorMessage="0" allowBlank="0" type="list">
      <formula1>"A,B,C"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34" customWidth="1" min="4" max="4"/>
    <col width="16" customWidth="1" min="5" max="5"/>
    <col width="10" customWidth="1" min="6" max="6"/>
    <col width="7" customWidth="1" min="7" max="7"/>
    <col width="12" customWidth="1" min="8" max="8"/>
    <col width="16" customWidth="1" min="9" max="9"/>
    <col width="90" customWidth="1" min="10" max="10"/>
  </cols>
  <sheetData>
    <row r="1">
      <c r="A1" s="1" t="inlineStr">
        <is>
          <t>v15-LCD prototype: the v15 JLCPCB order and the panels for it</t>
        </is>
      </c>
    </row>
    <row r="2">
      <c r="A2" s="2" t="inlineStr">
        <is>
          <t>v15-LCD board verified "ORDER" in hardware/verification/14_v15_final_preorder.md (2026-10-08). Panel: BuyDisplay ER-TFT019-1, no-touch version (datasheet checked pin for pin; hardware/LCD_PANEL_OPTIONS.md). Buy 3 panels and order the v15 board (hardware/ORDER_WALKTHROUGH_v15_lcd.md). Bench checks at arrival: diode test (pin-1 end), backlight V(R23)/15, panel at 3.3 V, colour flags, tail 36.6 ± 0.3 mm, the 3 moved keys. Adafruit #5394 is only an optional fallback now.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Vendor</t>
        </is>
      </c>
      <c r="D4" s="3" t="inlineStr">
        <is>
          <t>Link</t>
        </is>
      </c>
      <c r="E4" s="3" t="inlineStr">
        <is>
          <t>Part / SKU</t>
        </is>
      </c>
      <c r="F4" s="3" t="inlineStr">
        <is>
          <t>Unit $</t>
        </is>
      </c>
      <c r="G4" s="3" t="inlineStr">
        <is>
          <t>Qty</t>
        </is>
      </c>
      <c r="H4" s="3" t="inlineStr">
        <is>
          <t>Line total</t>
        </is>
      </c>
      <c r="I4" s="3" t="inlineStr">
        <is>
          <t>When</t>
        </is>
      </c>
      <c r="J4" s="3" t="inlineStr">
        <is>
          <t>Why / notes</t>
        </is>
      </c>
    </row>
    <row r="5">
      <c r="A5" s="4" t="n">
        <v>1</v>
      </c>
      <c r="B5" s="17" t="inlineStr">
        <is>
          <t>BuyDisplay ER-TFT019-1 1.9" 170×320 IPS, ST7789P3, 30-pin 0.5 mm FPC, NO touch</t>
        </is>
      </c>
      <c r="C5" s="17" t="inlineStr">
        <is>
          <t>BuyDisplay (East Rising)</t>
        </is>
      </c>
      <c r="D5" s="17" t="inlineStr">
        <is>
          <t>https://www.buydisplay.com/full-viewing-angle-spi-1-9-inch-ips-tft-lcd-display-panel-170x320-st7789</t>
        </is>
      </c>
      <c r="E5" s="17" t="inlineStr">
        <is>
          <t>ER-TFT019-1</t>
        </is>
      </c>
      <c r="F5" s="9" t="n">
        <v>6.75</v>
      </c>
      <c r="G5" s="12" t="n">
        <v>3</v>
      </c>
      <c r="H5" s="5">
        <f>F5*G5</f>
        <v/>
      </c>
      <c r="I5" s="4" t="inlineStr">
        <is>
          <t>Now, with the v15 order</t>
        </is>
      </c>
      <c r="J5" s="17" t="inlineStr">
        <is>
          <t>~$6–7 each at 1–9 pcs (6.75 = estimate inside that range; confirm at checkout); $6.22 @10, $5.71 @100. Same glass as the board was designed for; pin 1 lands at the J5 silk tick. Do NOT add the ER-CON30HT-1 socket (J5 is on the board).</t>
        </is>
      </c>
    </row>
    <row r="6">
      <c r="A6" s="4" t="n">
        <v>2</v>
      </c>
      <c r="B6" s="17" t="inlineStr">
        <is>
          <t>BuyDisplay shipping</t>
        </is>
      </c>
      <c r="C6" s="17" t="inlineStr">
        <is>
          <t>BuyDisplay</t>
        </is>
      </c>
      <c r="D6" s="17" t="inlineStr">
        <is>
          <t>—</t>
        </is>
      </c>
      <c r="E6" s="17" t="inlineStr">
        <is>
          <t>—</t>
        </is>
      </c>
      <c r="F6" s="9" t="n">
        <v>12</v>
      </c>
      <c r="G6" s="12" t="n">
        <v>1</v>
      </c>
      <c r="H6" s="5">
        <f>F6*G6</f>
        <v/>
      </c>
      <c r="I6" s="4" t="inlineStr">
        <is>
          <t>Now</t>
        </is>
      </c>
      <c r="J6" s="17" t="inlineStr">
        <is>
          <t>Estimate, not quoted: replace with the checkout figure.</t>
        </is>
      </c>
    </row>
    <row r="7">
      <c r="A7" s="4" t="n">
        <v>3</v>
      </c>
      <c r="B7" s="17" t="inlineStr">
        <is>
          <t>v15-LCD JLCPCB order: 5 PCBs, 5 assembled (Standard PCBA), delivered incl. DHL + ~35 % duty</t>
        </is>
      </c>
      <c r="C7" s="17" t="inlineStr">
        <is>
          <t>JLCPCB</t>
        </is>
      </c>
      <c r="D7" s="17" t="inlineStr">
        <is>
          <t>https://jlcpcb.com</t>
        </is>
      </c>
      <c r="E7" s="17" t="inlineStr">
        <is>
          <t>hardware/fab_v15_lcd/ (21:38 files)</t>
        </is>
      </c>
      <c r="F7" s="9" t="n">
        <v>270</v>
      </c>
      <c r="G7" s="12" t="n">
        <v>1</v>
      </c>
      <c r="H7" s="5">
        <f>F7*G7</f>
        <v/>
      </c>
      <c r="I7" s="4" t="inlineStr">
        <is>
          <t>Now</t>
        </is>
      </c>
      <c r="J7" s="17" t="inlineStr">
        <is>
          <t>Estimate ≈ $255–285 (ORDER_WALKTHROUGH_v15_lcd.md §8): v14 was $275; v15 has one fewer extended part type (13 vs 14, ~$3) and a ~$0.19/board cheaper BOM. Replace with the real total.</t>
        </is>
      </c>
    </row>
    <row r="8">
      <c r="A8" s="4" t="n">
        <v>4</v>
      </c>
      <c r="B8" s="17" t="inlineStr">
        <is>
          <t>Optional fallback: Adafruit 1.9" 320×170 IPS breakout #5394 (same 30-pin glass inside)</t>
        </is>
      </c>
      <c r="C8" s="17" t="inlineStr">
        <is>
          <t>Adafruit</t>
        </is>
      </c>
      <c r="D8" s="17" t="inlineStr">
        <is>
          <t>https://www.adafruit.com/product/5394</t>
        </is>
      </c>
      <c r="E8" s="17" t="inlineStr">
        <is>
          <t>#5394</t>
        </is>
      </c>
      <c r="F8" s="9" t="n">
        <v>17.5</v>
      </c>
      <c r="G8" s="12" t="n">
        <v>0</v>
      </c>
      <c r="H8" s="5">
        <f>F8*G8</f>
        <v/>
      </c>
      <c r="I8" s="4" t="inlineStr">
        <is>
          <t>Only if needed</t>
        </is>
      </c>
      <c r="J8" s="17" t="inlineStr">
        <is>
          <t>Fallback only (qty 0). $17.50 (1) / $15.75 (10+). The breakout does not fit the calculator: take the panel off it.</t>
        </is>
      </c>
    </row>
    <row r="9">
      <c r="A9" s="4" t="n">
        <v>5</v>
      </c>
      <c r="B9" s="17" t="inlineStr">
        <is>
          <t>Adafruit shipping (only if the fallback is bought)</t>
        </is>
      </c>
      <c r="C9" s="17" t="inlineStr">
        <is>
          <t>Adafruit</t>
        </is>
      </c>
      <c r="D9" s="17" t="inlineStr">
        <is>
          <t>—</t>
        </is>
      </c>
      <c r="E9" s="17" t="inlineStr">
        <is>
          <t>—</t>
        </is>
      </c>
      <c r="F9" s="9" t="n">
        <v>10</v>
      </c>
      <c r="G9" s="12">
        <f>IF(G8&gt;0,1,0)</f>
        <v/>
      </c>
      <c r="H9" s="5">
        <f>F9*G9</f>
        <v/>
      </c>
      <c r="I9" s="4" t="inlineStr">
        <is>
          <t>Only if needed</t>
        </is>
      </c>
      <c r="J9" s="17" t="inlineStr">
        <is>
          <t>Estimate ≈ $10 if ordered on its own.</t>
        </is>
      </c>
    </row>
    <row r="10">
      <c r="A10" s="4" t="n">
        <v>6</v>
      </c>
      <c r="B10" s="17" t="inlineStr">
        <is>
          <t>Optional bulk check: Alibaba Goldenmorning T190X7-C30-01 sample (plastic frame)</t>
        </is>
      </c>
      <c r="C10" s="17" t="inlineStr">
        <is>
          <t>Alibaba (Shenzhen Goldenmorning)</t>
        </is>
      </c>
      <c r="D10" s="17" t="inlineStr">
        <is>
          <t>https://www.alibaba.com/product-detail/1-9-Inch-IPS-TFT-LCD_1601731552729.html</t>
        </is>
      </c>
      <c r="E10" s="17" t="inlineStr">
        <is>
          <t>T190X7-C30-01</t>
        </is>
      </c>
      <c r="F10" s="9" t="n">
        <v>2.5</v>
      </c>
      <c r="G10" s="12" t="n">
        <v>0</v>
      </c>
      <c r="H10" s="5">
        <f>F10*G10</f>
        <v/>
      </c>
      <c r="I10" s="4" t="inlineStr">
        <is>
          <t>Later, before bulk</t>
        </is>
      </c>
      <c r="J10" s="17" t="inlineStr">
        <is>
          <t>$1.85–2.50, MOQ 1 (search snippets). Ask for the plastic-frame (~1.4 mm) build. ZJY (~$2.30–2.50) is the other bulk candidate. Qty 0 = not now.</t>
        </is>
      </c>
    </row>
    <row r="11">
      <c r="A11" s="4" t="n">
        <v>7</v>
      </c>
      <c r="B11" s="17" t="inlineStr">
        <is>
          <t>Alibaba express shipping (only if the sample is bought)</t>
        </is>
      </c>
      <c r="C11" s="17" t="inlineStr">
        <is>
          <t>Alibaba</t>
        </is>
      </c>
      <c r="D11" s="17" t="inlineStr">
        <is>
          <t>—</t>
        </is>
      </c>
      <c r="E11" s="17" t="inlineStr">
        <is>
          <t>—</t>
        </is>
      </c>
      <c r="F11" s="9" t="n">
        <v>20</v>
      </c>
      <c r="G11" s="12">
        <f>IF(G10&gt;0,1,0)</f>
        <v/>
      </c>
      <c r="H11" s="5">
        <f>F11*G11</f>
        <v/>
      </c>
      <c r="I11" s="4" t="inlineStr">
        <is>
          <t>Later</t>
        </is>
      </c>
      <c r="J11" s="17" t="inlineStr">
        <is>
          <t>$15–30 by express for a few panels (LCD_PANEL_OPTIONS.md).</t>
        </is>
      </c>
    </row>
    <row r="13">
      <c r="B13" s="7" t="inlineStr">
        <is>
          <t>TOTAL to buy now (3 panels + the v15 order)</t>
        </is>
      </c>
      <c r="H13" s="8">
        <f>SUM(H5:H11)</f>
        <v/>
      </c>
    </row>
    <row r="14">
      <c r="B14" s="26" t="inlineStr">
        <is>
          <t>…of which the panels (rows 1–2)</t>
        </is>
      </c>
      <c r="H14" s="27">
        <f>SUM(H5:H6)</f>
        <v/>
      </c>
    </row>
    <row r="16">
      <c r="B16" s="7" t="inlineStr">
        <is>
          <t>Board parts JLCPCB places on the v15 order (inside row 3, info only)</t>
        </is>
      </c>
    </row>
    <row r="17">
      <c r="B17" s="7" t="inlineStr">
        <is>
          <t>Board part</t>
        </is>
      </c>
      <c r="C17" s="7" t="inlineStr">
        <is>
          <t>LCSC</t>
        </is>
      </c>
      <c r="F17" s="7" t="inlineStr">
        <is>
          <t>Unit $ (JLCPCB 10/8)</t>
        </is>
      </c>
      <c r="G17" s="7" t="inlineStr">
        <is>
          <t>Qty / board</t>
        </is>
      </c>
      <c r="H17" s="7" t="inlineStr">
        <is>
          <t>Per board</t>
        </is>
      </c>
    </row>
    <row r="18">
      <c r="A18" s="4" t="inlineStr">
        <is>
          <t>J5</t>
        </is>
      </c>
      <c r="B18" s="4" t="inlineStr">
        <is>
          <t>HDGC 0.5K-HX-30PWB 30-pin 0.5 mm FPC socket, dual contact (LcdReversed footprint)</t>
        </is>
      </c>
      <c r="C18" s="4" t="inlineStr">
        <is>
          <t>C2919501</t>
        </is>
      </c>
      <c r="F18" s="20" t="n">
        <v>0.36</v>
      </c>
      <c r="G18" s="12" t="n">
        <v>1</v>
      </c>
      <c r="H18" s="21">
        <f>F18*G18</f>
        <v/>
      </c>
    </row>
    <row r="19">
      <c r="A19" s="4" t="inlineStr">
        <is>
          <t>Q4</t>
        </is>
      </c>
      <c r="B19" s="4" t="inlineStr">
        <is>
          <t>AO3401A P-MOSFET (LCD power switch)</t>
        </is>
      </c>
      <c r="C19" s="4" t="inlineStr">
        <is>
          <t>C15127</t>
        </is>
      </c>
      <c r="F19" s="20" t="n">
        <v>0.1</v>
      </c>
      <c r="G19" s="12" t="n">
        <v>1</v>
      </c>
      <c r="H19" s="21">
        <f>F19*G19</f>
        <v/>
      </c>
    </row>
    <row r="20">
      <c r="A20" s="4" t="inlineStr">
        <is>
          <t>Q5</t>
        </is>
      </c>
      <c r="B20" s="4" t="inlineStr">
        <is>
          <t>AO3400A N-MOSFET (backlight switch)</t>
        </is>
      </c>
      <c r="C20" s="4" t="inlineStr">
        <is>
          <t>C20917</t>
        </is>
      </c>
      <c r="F20" s="20" t="n">
        <v>0.09</v>
      </c>
      <c r="G20" s="12" t="n">
        <v>1</v>
      </c>
      <c r="H20" s="21">
        <f>F20*G20</f>
        <v/>
      </c>
    </row>
    <row r="21">
      <c r="A21" s="4" t="inlineStr">
        <is>
          <t>R21, R22, C36</t>
        </is>
      </c>
      <c r="B21" s="4" t="inlineStr">
        <is>
          <t>100 k ×2, 100 nF</t>
        </is>
      </c>
      <c r="C21" s="4" t="inlineStr">
        <is>
          <t>C25741 / C1525</t>
        </is>
      </c>
      <c r="F21" s="20" t="n">
        <v>0.002</v>
      </c>
      <c r="G21" s="12" t="n">
        <v>3</v>
      </c>
      <c r="H21" s="21">
        <f>F21*G21</f>
        <v/>
      </c>
    </row>
    <row r="22">
      <c r="A22" s="4" t="inlineStr">
        <is>
          <t>R23</t>
        </is>
      </c>
      <c r="B22" s="4" t="inlineStr">
        <is>
          <t>15 Ω 0603 (was 22 Ω until review 14; extended part, ~$3 one-off fee)</t>
        </is>
      </c>
      <c r="C22" s="4" t="inlineStr">
        <is>
          <t>C22810</t>
        </is>
      </c>
      <c r="F22" s="20" t="n">
        <v>0.0013</v>
      </c>
      <c r="G22" s="12" t="n">
        <v>1</v>
      </c>
      <c r="H22" s="21">
        <f>F22*G22</f>
        <v/>
      </c>
    </row>
    <row r="23">
      <c r="B23" s="4" t="inlineStr">
        <is>
          <t>Added parts per v15 board (the 17 removed e-paper parts make the board ≈ $0.19 cheaper overall)</t>
        </is>
      </c>
      <c r="H23" s="21">
        <f>SUM(H18:H22)</f>
        <v/>
      </c>
    </row>
    <row r="25">
      <c r="A25" s="2" t="inlineStr">
        <is>
          <t>The rest of the $2,000 plan (knockoff samples, pilot, legal) is in hardware/production/COST_MODEL.xlsx 'Cash budget' (rows 3–4 there = this sheet).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2026-10-08T21:30:38Z</dcterms:created>
  <dcterms:modified xsi:type="dcterms:W3CDTF">2026-10-12T01:33:27Z</dcterms:modified>
</cp:coreProperties>
</file>