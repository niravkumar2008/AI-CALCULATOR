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st by batch" sheetId="1" state="visible" r:id="rId1"/>
    <sheet name="v15-LCD cost by batch" sheetId="2" state="visible" r:id="rId2"/>
    <sheet name="Supplier options" sheetId="3" state="visible" r:id="rId3"/>
    <sheet name="Supplier message templates" sheetId="4" state="visible" r:id="rId4"/>
    <sheet name="Checks before bulk" sheetId="5" state="visible" r:id="rId5"/>
    <sheet name="Sources" sheetId="6" state="visible" r:id="rId6"/>
  </sheets>
  <definedNames>
    <definedName name="_xlnm._FilterDatabase" localSheetId="2" hidden="1">'Supplier options'!$A$3:$L$40</definedName>
  </definedNames>
  <calcPr calcId="124519" fullCalcOnLoad="1"/>
</workbook>
</file>

<file path=xl/styles.xml><?xml version="1.0" encoding="utf-8"?>
<styleSheet xmlns="http://schemas.openxmlformats.org/spreadsheetml/2006/main">
  <numFmts count="1">
    <numFmt numFmtId="164" formatCode="&quot;$&quot;#,##0.00"/>
  </numFmts>
  <fonts count="10">
    <font>
      <name val="Calibri"/>
      <family val="2"/>
      <color theme="1"/>
      <sz val="11"/>
      <scheme val="minor"/>
    </font>
    <font>
      <name val="Arial"/>
      <b val="1"/>
      <sz val="14"/>
    </font>
    <font>
      <name val="Arial"/>
      <i val="1"/>
      <color rgb="00555555"/>
      <sz val="9"/>
    </font>
    <font>
      <name val="Arial"/>
      <b val="1"/>
      <sz val="10"/>
    </font>
    <font>
      <name val="Arial"/>
      <b val="1"/>
      <color rgb="000000FF"/>
      <sz val="10"/>
    </font>
    <font>
      <name val="Arial"/>
      <b val="1"/>
      <color rgb="00FFFFFF"/>
      <sz val="10"/>
    </font>
    <font>
      <name val="Arial"/>
      <sz val="10"/>
    </font>
    <font>
      <name val="Arial"/>
      <color rgb="000563C1"/>
      <sz val="10"/>
      <u val="single"/>
    </font>
    <font>
      <name val="Arial"/>
      <color rgb="000000FF"/>
      <sz val="10"/>
    </font>
    <font>
      <name val="Arial"/>
      <b val="1"/>
      <sz val="13"/>
    </font>
  </fonts>
  <fills count="4">
    <fill>
      <patternFill/>
    </fill>
    <fill>
      <patternFill patternType="gray125"/>
    </fill>
    <fill>
      <patternFill patternType="solid">
        <fgColor rgb="001F4E78"/>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horizontal="right"/>
    </xf>
    <xf numFmtId="3" fontId="4" fillId="0" borderId="0" applyAlignment="1" pivotButton="0" quotePrefix="0" xfId="0">
      <alignment horizontal="center"/>
    </xf>
    <xf numFmtId="0" fontId="2"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164" fontId="8" fillId="0" borderId="1" applyAlignment="1" pivotButton="0" quotePrefix="0" xfId="0">
      <alignment vertical="top" wrapText="1"/>
    </xf>
    <xf numFmtId="164" fontId="6" fillId="0" borderId="1" pivotButton="0" quotePrefix="0" xfId="0"/>
    <xf numFmtId="0" fontId="2" fillId="0" borderId="1" applyAlignment="1" pivotButton="0" quotePrefix="0" xfId="0">
      <alignment vertical="top" wrapText="1"/>
    </xf>
    <xf numFmtId="9" fontId="8" fillId="0" borderId="1" applyAlignment="1" pivotButton="0" quotePrefix="0" xfId="0">
      <alignment vertical="top" wrapText="1"/>
    </xf>
    <xf numFmtId="164" fontId="6" fillId="0" borderId="1" applyAlignment="1" pivotButton="0" quotePrefix="0" xfId="0">
      <alignment vertical="top" wrapText="1"/>
    </xf>
    <xf numFmtId="0" fontId="3" fillId="3" borderId="1" pivotButton="0" quotePrefix="0" xfId="0"/>
    <xf numFmtId="164" fontId="3" fillId="3" borderId="1" pivotButton="0" quotePrefix="0" xfId="0"/>
    <xf numFmtId="164" fontId="2" fillId="0" borderId="0" pivotButton="0" quotePrefix="0" xfId="0"/>
    <xf numFmtId="0" fontId="5" fillId="2" borderId="1" pivotButton="0" quotePrefix="0" xfId="0"/>
    <xf numFmtId="0" fontId="3" fillId="0" borderId="1" applyAlignment="1" pivotButton="0" quotePrefix="0" xfId="0">
      <alignment vertical="top" wrapText="1"/>
    </xf>
    <xf numFmtId="0" fontId="5" fillId="2" borderId="0" pivotButton="0" quotePrefix="0" xfId="0"/>
    <xf numFmtId="0" fontId="3" fillId="0" borderId="0" pivotButton="0" quotePrefix="0" xfId="0"/>
    <xf numFmtId="0" fontId="6" fillId="0" borderId="0" pivotButton="0" quotePrefix="0" xfId="0"/>
    <xf numFmtId="0" fontId="7" fillId="0" borderId="0" pivotButton="0" quotePrefix="0" xfId="0"/>
    <xf numFmtId="0" fontId="9" fillId="0" borderId="0" pivotButton="0" quotePrefix="0" xfId="0"/>
    <xf numFmtId="3" fontId="6" fillId="0" borderId="0" applyAlignment="1" pivotButton="0" quotePrefix="0" xfId="0">
      <alignment horizontal="center"/>
    </xf>
    <xf numFmtId="9" fontId="6" fillId="0" borderId="1" applyAlignment="1" pivotButton="0" quotePrefix="0" xfId="0">
      <alignment vertical="top" wrapText="1"/>
    </xf>
    <xf numFmtId="0" fontId="6" fillId="0" borderId="0" applyAlignment="1" pivotButton="0" quotePrefix="0" xfId="0">
      <alignment vertical="top" wrapText="1"/>
    </xf>
    <xf numFmtId="164" fontId="8" fillId="0" borderId="0" pivotButton="0" quotePrefix="0" xfId="0"/>
    <xf numFmtId="1" fontId="8" fillId="0" borderId="0" pivotButton="0" quotePrefix="0" xfId="0"/>
    <xf numFmtId="164" fontId="6" fillId="0" borderId="0" pivotButton="0" quotePrefix="0" xfId="0"/>
    <xf numFmtId="0" fontId="3" fillId="0" borderId="0" applyAlignment="1" pivotButton="0" quotePrefix="0" xfId="0">
      <alignment vertical="top" wrapText="1"/>
    </xf>
    <xf numFmtId="164"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lcpcb.com/quote" TargetMode="External" Id="rId1" /><Relationship Type="http://schemas.openxmlformats.org/officeDocument/2006/relationships/hyperlink" Target="https://www.alibaba.com/product-detail/Multifunctional-Function-Calculator-991ES-PLUS-Scientific_1600201758973.html" TargetMode="External" Id="rId2" /><Relationship Type="http://schemas.openxmlformats.org/officeDocument/2006/relationships/hyperlink" Target="https://www.alibaba.com/product-detail/Auto-Focus-OV5640-camera-OEM-24pin_60812933393.html" TargetMode="External" Id="rId3" /><Relationship Type="http://schemas.openxmlformats.org/officeDocument/2006/relationships/hyperlink" Target="https://www.good-display.com/product/391.html" TargetMode="External" Id="rId4" /><Relationship Type="http://schemas.openxmlformats.org/officeDocument/2006/relationships/hyperlink" Target="https://www.adafruit.com/product/1317" TargetMode="External" Id="rId5" /><Relationship Type="http://schemas.openxmlformats.org/officeDocument/2006/relationships/hyperlink" Target="https://www.alibaba.com/product-detail/Right-Angle-PCB-Mount-4Pin-Pogo_1600499610022.html" TargetMode="External" Id="rId6" /><Relationship Type="http://schemas.openxmlformats.org/officeDocument/2006/relationships/hyperlink" Target="https://www.alibaba.com/product-detail/4-pin-magnetic-connector-original-design_1600072383247.html" TargetMode="External" Id="rId7" /><Relationship Type="http://schemas.openxmlformats.org/officeDocument/2006/relationships/hyperlink" Target="https://www.alibaba.com/showroom/gift-boxes-with-foam-insert.html" TargetMode="External" Id="rId8" /><Relationship Type="http://schemas.openxmlformats.org/officeDocument/2006/relationships/hyperlink" Target="https://sourcing.ship4wd.com/product/instruction-manual-custom-printing-factory-typesetting-design-advertising-brochure-custom-printing-employment-contract-employee-handbook" TargetMode="External" Id="rId9" /><Relationship Type="http://schemas.openxmlformats.org/officeDocument/2006/relationships/hyperlink" Target="https://www.uline.com" TargetMode="External" Id="rId10" /><Relationship Type="http://schemas.openxmlformats.org/officeDocument/2006/relationships/hyperlink" Target="https://olimex.com/Products/Tools/Soldering/KAPTON-TAPE10MM" TargetMode="External" Id="rId11" /><Relationship Type="http://schemas.openxmlformats.org/officeDocument/2006/relationships/hyperlink" Target="https://jlcpcb.com/help/article/tariff" TargetMode="External" Id="rId12" /></Relationships>
</file>

<file path=xl/worksheets/_rels/sheet2.xml.rels><Relationships xmlns="http://schemas.openxmlformats.org/package/2006/relationships"><Relationship Type="http://schemas.openxmlformats.org/officeDocument/2006/relationships/hyperlink" Target="https://jlcpcb.com/quote" TargetMode="External" Id="rId1" /><Relationship Type="http://schemas.openxmlformats.org/officeDocument/2006/relationships/hyperlink" Target="https://www.alibaba.com/product-detail/Multifunctional-Function-Calculator-991ES-PLUS-Scientific_1600201758973.html" TargetMode="External" Id="rId2" /><Relationship Type="http://schemas.openxmlformats.org/officeDocument/2006/relationships/hyperlink" Target="https://www.alibaba.com/product-detail/Auto-Focus-OV5640-camera-OEM-24pin_60812933393.html" TargetMode="External" Id="rId3" /><Relationship Type="http://schemas.openxmlformats.org/officeDocument/2006/relationships/hyperlink" Target="https://www.nosedisplay.com/products/1-9-inch-tft-display-170x320-resolution-spi-interface-st7789p3-controller-ips-screen/" TargetMode="External" Id="rId4" /><Relationship Type="http://schemas.openxmlformats.org/officeDocument/2006/relationships/hyperlink" Target="https://www.adafruit.com/product/1317" TargetMode="External" Id="rId5" /><Relationship Type="http://schemas.openxmlformats.org/officeDocument/2006/relationships/hyperlink" Target="https://www.alibaba.com/product-detail/Right-Angle-PCB-Mount-4Pin-Pogo_1600499610022.html" TargetMode="External" Id="rId6" /><Relationship Type="http://schemas.openxmlformats.org/officeDocument/2006/relationships/hyperlink" Target="https://www.alibaba.com/product-detail/4-pin-magnetic-connector-original-design_1600072383247.html" TargetMode="External" Id="rId7" /><Relationship Type="http://schemas.openxmlformats.org/officeDocument/2006/relationships/hyperlink" Target="https://www.alibaba.com/showroom/gift-boxes-with-foam-insert.html" TargetMode="External" Id="rId8" /><Relationship Type="http://schemas.openxmlformats.org/officeDocument/2006/relationships/hyperlink" Target="https://sourcing.ship4wd.com/product/instruction-manual-custom-printing-factory-typesetting-design-advertising-brochure-custom-printing-employment-contract-employee-handbook" TargetMode="External" Id="rId9" /><Relationship Type="http://schemas.openxmlformats.org/officeDocument/2006/relationships/hyperlink" Target="https://www.uline.com" TargetMode="External" Id="rId10" /><Relationship Type="http://schemas.openxmlformats.org/officeDocument/2006/relationships/hyperlink" Target="https://olimex.com/Products/Tools/Soldering/KAPTON-TAPE10MM" TargetMode="External" Id="rId11" /><Relationship Type="http://schemas.openxmlformats.org/officeDocument/2006/relationships/hyperlink" Target="https://jlcpcb.com/help/article/tariff" TargetMode="External" Id="rId12" /></Relationships>
</file>

<file path=xl/worksheets/_rels/sheet3.xml.rels><Relationships xmlns="http://schemas.openxmlformats.org/package/2006/relationships"><Relationship Type="http://schemas.openxmlformats.org/officeDocument/2006/relationships/hyperlink" Target="https://www.alibaba.com/product-detail/Multifunctional-Function-Calculator-991ES-PLUS-Scientific_1600201758973.html" TargetMode="External" Id="rId1" /><Relationship Type="http://schemas.openxmlformats.org/officeDocument/2006/relationships/hyperlink" Target="https://www.alibaba.com/product-detail/OS-991ES-Plus-Digital-Scientific-Calculator_60742242518.html" TargetMode="External" Id="rId2" /><Relationship Type="http://schemas.openxmlformats.org/officeDocument/2006/relationships/hyperlink" Target="https://www.alibaba.com/product-detail/Wholesale-Price-Scientific-Calculator-991-ES_60739872973.html" TargetMode="External" Id="rId3" /><Relationship Type="http://schemas.openxmlformats.org/officeDocument/2006/relationships/hyperlink" Target="https://electronics.alibaba.com/supplier/scientific-calculator-fx-991-wholesaler" TargetMode="External" Id="rId4" /><Relationship Type="http://schemas.openxmlformats.org/officeDocument/2006/relationships/hyperlink" Target="https://www.aliexpress.us/w/wholesale-991es-plus-calculator.html" TargetMode="External" Id="rId5" /><Relationship Type="http://schemas.openxmlformats.org/officeDocument/2006/relationships/hyperlink" Target="https://www.made-in-china.com/products-search/hot-china-products/Wholesale_991es.html" TargetMode="External" Id="rId6" /><Relationship Type="http://schemas.openxmlformats.org/officeDocument/2006/relationships/hyperlink" Target="https://www.alibaba.com/product-detail/Auto-Focus-OV5640-camera-OEM-24pin_60812933393.html" TargetMode="External" Id="rId7" /><Relationship Type="http://schemas.openxmlformats.org/officeDocument/2006/relationships/hyperlink" Target="https://www.alibaba.com/product-detail/CMOS-Sensor-24pin-cmos-mipi-OV5640_60654128212.html" TargetMode="External" Id="rId8" /><Relationship Type="http://schemas.openxmlformats.org/officeDocument/2006/relationships/hyperlink" Target="https://www.aliexpress.us/item/3256805793232491.html" TargetMode="External" Id="rId9" /><Relationship Type="http://schemas.openxmlformats.org/officeDocument/2006/relationships/hyperlink" Target="https://core-electronics.com.au/ov5640-camera-xiao-esp32s3-sense.html" TargetMode="External" Id="rId10" /><Relationship Type="http://schemas.openxmlformats.org/officeDocument/2006/relationships/hyperlink" Target="https://www.alibaba.com/product-detail/Cheap-E-paper-Fastest-update-display_62495302280.html" TargetMode="External" Id="rId11" /><Relationship Type="http://schemas.openxmlformats.org/officeDocument/2006/relationships/hyperlink" Target="https://www.good-display.com/product/391.html" TargetMode="External" Id="rId12" /><Relationship Type="http://schemas.openxmlformats.org/officeDocument/2006/relationships/hyperlink" Target="https://www.waveshare.com/2.13inch-e-Paper.htm" TargetMode="External" Id="rId13" /><Relationship Type="http://schemas.openxmlformats.org/officeDocument/2006/relationships/hyperlink" Target="https://goodlcd.en.alibaba.com/productgrouplist-210184876/E_Paper_Display.html" TargetMode="External" Id="rId14" /><Relationship Type="http://schemas.openxmlformats.org/officeDocument/2006/relationships/hyperlink" Target="https://www.alibaba.com/product-detail/Rechargeable-LIpo-Battery-401230-3-7v_60510848808.html" TargetMode="External" Id="rId15" /><Relationship Type="http://schemas.openxmlformats.org/officeDocument/2006/relationships/hyperlink" Target="https://www.alibaba.com/product-detail/0-37wh-lithium-polymer-401230-3_62007144726.html" TargetMode="External" Id="rId16" /><Relationship Type="http://schemas.openxmlformats.org/officeDocument/2006/relationships/hyperlink" Target="https://www.alibaba.com/product-detail/Low--Price--Slim--Lipo--Battery--401230-1601068659979.html" TargetMode="External" Id="rId17" /><Relationship Type="http://schemas.openxmlformats.org/officeDocument/2006/relationships/hyperlink" Target="https://www.adafruit.com/product/1317" TargetMode="External" Id="rId18" /><Relationship Type="http://schemas.openxmlformats.org/officeDocument/2006/relationships/hyperlink" Target="https://eemb.com/product-121" TargetMode="External" Id="rId19" /><Relationship Type="http://schemas.openxmlformats.org/officeDocument/2006/relationships/hyperlink" Target="https://www.alibaba.com/product-detail/Right-Angle-PCB-Mount-4Pin-Pogo_1600499610022.html" TargetMode="External" Id="rId20" /><Relationship Type="http://schemas.openxmlformats.org/officeDocument/2006/relationships/hyperlink" Target="https://www.alibaba.com/product-detail/Horizontal-4-Pogo-Pin-Magnetic-Electrical_1600423063435.html" TargetMode="External" Id="rId21" /><Relationship Type="http://schemas.openxmlformats.org/officeDocument/2006/relationships/hyperlink" Target="https://www.alibaba.com/product-detail/Magnetic-Spring-Loaded-Pogo-pin-connector_62409490254.html" TargetMode="External" Id="rId22" /><Relationship Type="http://schemas.openxmlformats.org/officeDocument/2006/relationships/hyperlink" Target="https://www.adafruit.com/product/5358" TargetMode="External" Id="rId23" /><Relationship Type="http://schemas.openxmlformats.org/officeDocument/2006/relationships/hyperlink" Target="https://www.alibaba.com/product-detail/4-pin-magnetic-connector-original-design_1600072383247.html" TargetMode="External" Id="rId24" /><Relationship Type="http://schemas.openxmlformats.org/officeDocument/2006/relationships/hyperlink" Target="https://www.alibaba.com/product-detail/magnetic-pogo-pin-usb-charging-cable_10000019587922.html" TargetMode="External" Id="rId25" /><Relationship Type="http://schemas.openxmlformats.org/officeDocument/2006/relationships/hyperlink" Target="https://www.alibaba.com/product-detail/Usb-3-0-Magnetic-Pogo-4_62151084453.html" TargetMode="External" Id="rId26" /><Relationship Type="http://schemas.openxmlformats.org/officeDocument/2006/relationships/hyperlink" Target="https://www.adafruit.com/product/5412" TargetMode="External" Id="rId27" /><Relationship Type="http://schemas.openxmlformats.org/officeDocument/2006/relationships/hyperlink" Target="https://www.alibaba.com/showroom/gift-boxes-with-foam-insert.html" TargetMode="External" Id="rId28" /><Relationship Type="http://schemas.openxmlformats.org/officeDocument/2006/relationships/hyperlink" Target="https://www.alibaba.com/showroom/custom-foam-box-inserts.html" TargetMode="External" Id="rId29" /><Relationship Type="http://schemas.openxmlformats.org/officeDocument/2006/relationships/hyperlink" Target="https://www.uline.com" TargetMode="External" Id="rId30" /><Relationship Type="http://schemas.openxmlformats.org/officeDocument/2006/relationships/hyperlink" Target="https://sourcing.ship4wd.com/product/instruction-manual-custom-printing-factory-typesetting-design-advertising-brochure-custom-printing-employment-contract-employee-handbook" TargetMode="External" Id="rId31" /><Relationship Type="http://schemas.openxmlformats.org/officeDocument/2006/relationships/hyperlink" Target="https://www.vistaprint.ca/marketing-materials/booklets" TargetMode="External" Id="rId32" /><Relationship Type="http://schemas.openxmlformats.org/officeDocument/2006/relationships/hyperlink" Target="https://olimex.com/Products/Tools/Soldering/KAPTON-TAPE10MM" TargetMode="External" Id="rId33" /><Relationship Type="http://schemas.openxmlformats.org/officeDocument/2006/relationships/hyperlink" Target="https://www.uline.com/Product/Detail/S-7595/High-Temperature-Tapes/Kapton-Tape-1-Mil-1-2-x-36-yds" TargetMode="External" Id="rId34" /><Relationship Type="http://schemas.openxmlformats.org/officeDocument/2006/relationships/hyperlink" Target="https://www.aliexpress.us/w/wholesale-kapton-tape-10mm.html" TargetMode="External" Id="rId35" /><Relationship Type="http://schemas.openxmlformats.org/officeDocument/2006/relationships/hyperlink" Target="https://jlcpcb.com/quote" TargetMode="External" Id="rId36" /><Relationship Type="http://schemas.openxmlformats.org/officeDocument/2006/relationships/hyperlink" Target="https://www.lcsc.com/product-detail/C3013941.html" TargetMode="External" Id="rId37" /><Relationship Type="http://schemas.openxmlformats.org/officeDocument/2006/relationships/hyperlink" Target="https://www.adafruit.com/product/5394" TargetMode="External" Id="rId38" /><Relationship Type="http://schemas.openxmlformats.org/officeDocument/2006/relationships/hyperlink" Target="https://www.aliexpress.us/w/wholesale-1.9-inch-170x320-30pin-st7789.html" TargetMode="External" Id="rId39" /><Relationship Type="http://schemas.openxmlformats.org/officeDocument/2006/relationships/hyperlink" Target="https://www.nosedisplay.com/products/1-9-inch-tft-display-170x320-resolution-spi-interface-st7789p3-controller-ips-screen/" TargetMode="External" Id="rId40" /><Relationship Type="http://schemas.openxmlformats.org/officeDocument/2006/relationships/hyperlink" Target="https://www.buydisplay.com/full-viewing-angle-spi-1-9-inch-ips-tft-lcd-display-panel-170x320-st7789" TargetMode="External" Id="rId41" /><Relationship Type="http://schemas.openxmlformats.org/officeDocument/2006/relationships/hyperlink" Target="https://www.alibaba.com/product-detail/1-9-Inch-IPS-TFT-LCD_1601731552729.html" TargetMode="External" Id="rId42" /><Relationship Type="http://schemas.openxmlformats.org/officeDocument/2006/relationships/hyperlink" Target="https://www.alibaba.com/product-detail/1-9-Inch-170x320-30-PIN_1600647344150.html" TargetMode="External" Id="rId43" /></Relationships>
</file>

<file path=xl/worksheets/_rels/sheet6.xml.rels><Relationships xmlns="http://schemas.openxmlformats.org/package/2006/relationships"><Relationship Type="http://schemas.openxmlformats.org/officeDocument/2006/relationships/hyperlink" Target="https://de.accio.com/business/casio-fx-es-991-bestseller" TargetMode="External" Id="rId1" /><Relationship Type="http://schemas.openxmlformats.org/officeDocument/2006/relationships/hyperlink" Target="https://electronics.alibaba.com/supplier/scientific-calculator-fx-991-wholesaler" TargetMode="External" Id="rId2" /><Relationship Type="http://schemas.openxmlformats.org/officeDocument/2006/relationships/hyperlink" Target="https://www.alibaba.com/product-detail/Auto-Focus-OV5640-camera-OEM-24pin_60812933393.html" TargetMode="External" Id="rId3" /><Relationship Type="http://schemas.openxmlformats.org/officeDocument/2006/relationships/hyperlink" Target="https://www.ebay.de/itm/187207860087" TargetMode="External" Id="rId4" /><Relationship Type="http://schemas.openxmlformats.org/officeDocument/2006/relationships/hyperlink" Target="https://www.good-display.com/product/391.html" TargetMode="External" Id="rId5" /><Relationship Type="http://schemas.openxmlformats.org/officeDocument/2006/relationships/hyperlink" Target="https://www.alibaba.com/showroom/401230-lipo-battery-3.7v-100mah.html" TargetMode="External" Id="rId6" /><Relationship Type="http://schemas.openxmlformats.org/officeDocument/2006/relationships/hyperlink" Target="https://www.alibaba.com/product-detail/Horizontal-4-Pogo-Pin-Magnetic-Electrical_1600423063435.html" TargetMode="External" Id="rId7" /><Relationship Type="http://schemas.openxmlformats.org/officeDocument/2006/relationships/hyperlink" Target="https://www.alibaba.com/showroom/gift-boxes-with-foam-insert.html" TargetMode="External" Id="rId8" /><Relationship Type="http://schemas.openxmlformats.org/officeDocument/2006/relationships/hyperlink" Target="https://sourcing.ship4wd.com/product/instruction-manual-custom-printing-factory-typesetting-design-advertising-brochure-custom-printing-employment-contract-employee-handbook" TargetMode="External" Id="rId9" /></Relationships>
</file>

<file path=xl/worksheets/sheet1.xml><?xml version="1.0" encoding="utf-8"?>
<worksheet xmlns="http://schemas.openxmlformats.org/spreadsheetml/2006/main">
  <sheetPr>
    <outlinePr summaryBelow="1" summaryRight="1"/>
    <pageSetUpPr/>
  </sheetPr>
  <dimension ref="A1:R28"/>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1" customWidth="1" min="2" max="2"/>
    <col width="46" customWidth="1" min="3" max="3"/>
    <col width="20" customWidth="1" min="4" max="4"/>
    <col width="22" customWidth="1" min="5" max="5"/>
    <col width="24" customWidth="1" min="6" max="6"/>
    <col width="7" customWidth="1" min="7" max="7"/>
    <col width="8" customWidth="1" min="8" max="8"/>
    <col width="10" customWidth="1" min="9" max="9"/>
    <col width="10" customWidth="1" min="10" max="10"/>
    <col width="10" customWidth="1" min="11" max="11"/>
    <col width="11" customWidth="1" min="12" max="12"/>
    <col width="11" customWidth="1" min="13" max="13"/>
    <col width="11" customWidth="1" min="14" max="14"/>
    <col width="12" customWidth="1" min="15" max="15"/>
    <col width="12" customWidth="1" min="16" max="16"/>
    <col width="13" customWidth="1" min="17" max="17"/>
    <col width="60" customWidth="1" min="18" max="18"/>
  </cols>
  <sheetData>
    <row r="1">
      <c r="A1" s="1" t="inlineStr">
        <is>
          <t>AI Calculator: bulk cost per unit at 10 / 100 / 1,000 units (knockoff 991ES-style shell)</t>
        </is>
      </c>
    </row>
    <row r="2" ht="42" customHeight="1">
      <c r="A2" s="2" t="inlineStr">
        <is>
          <t>Prices as of 2026-10-05. Blue = estimate inputs you can edit; black = formulas. Sources: 'Supplier options' and 'Sources' sheets, and Claude outputs/LAUNCH_ROADMAP.md §3 (JLCPCB, freight). Alibaba pages sit behind a CAPTCHA for automated reading, so listing prices come from search-index snippets: confirm every number by RFQ before paying. Battery updated 2026-10-06: Adafruit #1317 150 mAh (26 × 19.75 × 3.8) replaces the #1570 100 mAh.</t>
        </is>
      </c>
    </row>
    <row r="3">
      <c r="N3" s="3" t="inlineStr">
        <is>
          <t>Batch size →</t>
        </is>
      </c>
      <c r="O3" s="4" t="n">
        <v>10</v>
      </c>
      <c r="P3" s="4" t="n">
        <v>100</v>
      </c>
      <c r="Q3" s="4" t="n">
        <v>1000</v>
      </c>
      <c r="R3" s="5" t="inlineStr">
        <is>
          <t>← edit batch sizes here</t>
        </is>
      </c>
    </row>
    <row r="4" ht="32" customHeight="1">
      <c r="A4" s="6" t="inlineStr">
        <is>
          <t>#</t>
        </is>
      </c>
      <c r="B4" s="6" t="inlineStr">
        <is>
          <t>Category</t>
        </is>
      </c>
      <c r="C4" s="6" t="inlineStr">
        <is>
          <t>Item &amp; key spec</t>
        </is>
      </c>
      <c r="D4" s="6" t="inlineStr">
        <is>
          <t>Source @10</t>
        </is>
      </c>
      <c r="E4" s="6" t="inlineStr">
        <is>
          <t>Source @100</t>
        </is>
      </c>
      <c r="F4" s="6" t="inlineStr">
        <is>
          <t>Source @1,000</t>
        </is>
      </c>
      <c r="G4" s="6" t="inlineStr">
        <is>
          <t>Main link</t>
        </is>
      </c>
      <c r="H4" s="6" t="inlineStr">
        <is>
          <t>Qty / unit</t>
        </is>
      </c>
      <c r="I4" s="6" t="inlineStr">
        <is>
          <t>Unit $ @10</t>
        </is>
      </c>
      <c r="J4" s="6" t="inlineStr">
        <is>
          <t>Unit $ @100</t>
        </is>
      </c>
      <c r="K4" s="6" t="inlineStr">
        <is>
          <t>Unit $ @1,000</t>
        </is>
      </c>
      <c r="L4" s="6" t="inlineStr">
        <is>
          <t>Per-unit $ @10</t>
        </is>
      </c>
      <c r="M4" s="6" t="inlineStr">
        <is>
          <t>Per-unit $ @100</t>
        </is>
      </c>
      <c r="N4" s="6" t="inlineStr">
        <is>
          <t>Per-unit $ @1,000</t>
        </is>
      </c>
      <c r="O4" s="6" t="inlineStr">
        <is>
          <t>Batch total @10</t>
        </is>
      </c>
      <c r="P4" s="6" t="inlineStr">
        <is>
          <t>Batch total @100</t>
        </is>
      </c>
      <c r="Q4" s="6" t="inlineStr">
        <is>
          <t>Batch total @1,000</t>
        </is>
      </c>
      <c r="R4" s="6" t="inlineStr">
        <is>
          <t>Price basis / notes</t>
        </is>
      </c>
    </row>
    <row r="5">
      <c r="A5" s="7" t="n">
        <v>1</v>
      </c>
      <c r="B5" s="7" t="inlineStr">
        <is>
          <t>PCBA</t>
        </is>
      </c>
      <c r="C5" s="7" t="inlineStr">
        <is>
          <t>Main board v14: PCB 2-layer 0.8 mm ENIG + Standard PCBA (ESP32-S3-MINI-1, TCA8418, LDOs, FPCs, passives)</t>
        </is>
      </c>
      <c r="D5" s="7" t="inlineStr">
        <is>
          <t>JLCPCB</t>
        </is>
      </c>
      <c r="E5" s="7" t="inlineStr">
        <is>
          <t>JLCPCB</t>
        </is>
      </c>
      <c r="F5" s="7" t="inlineStr">
        <is>
          <t>JLCPCB (Economic/Standard PCBA)</t>
        </is>
      </c>
      <c r="G5" s="8" t="inlineStr">
        <is>
          <t>link</t>
        </is>
      </c>
      <c r="H5" s="9" t="n">
        <v>1</v>
      </c>
      <c r="I5" s="10" t="n">
        <v>18</v>
      </c>
      <c r="J5" s="10" t="n">
        <v>9</v>
      </c>
      <c r="K5" s="10" t="n">
        <v>7.3</v>
      </c>
      <c r="L5" s="11">
        <f>$H5*I5</f>
        <v/>
      </c>
      <c r="M5" s="11">
        <f>$H5*J5</f>
        <v/>
      </c>
      <c r="N5" s="11">
        <f>$H5*K5</f>
        <v/>
      </c>
      <c r="O5" s="11">
        <f>L5*O$3</f>
        <v/>
      </c>
      <c r="P5" s="11">
        <f>M5*P$3</f>
        <v/>
      </c>
      <c r="Q5" s="11">
        <f>N5*Q$3</f>
        <v/>
      </c>
      <c r="R5" s="12" t="inlineStr">
        <is>
          <t>LAUNCH_ROADMAP.md §3 price-scaling table (JLCPCB + LCSC breaks, estimate). Stays with JLCPCB at all sizes. Extended-part fees ($3 x 14 types) vanish into per-unit cost at 100+.</t>
        </is>
      </c>
    </row>
    <row r="6">
      <c r="A6" s="7" t="n">
        <v>2</v>
      </c>
      <c r="B6" s="7" t="inlineStr">
        <is>
          <t>Shell</t>
        </is>
      </c>
      <c r="C6" s="7" t="inlineStr">
        <is>
          <t>Knockoff 991ES PLUS-style calculator (shell, key mat, window, screws, slide cover); board removed</t>
        </is>
      </c>
      <c r="D6" s="7" t="inlineStr">
        <is>
          <t>AliExpress / Amazon (MOQ 1)</t>
        </is>
      </c>
      <c r="E6" s="7" t="inlineStr">
        <is>
          <t>Alibaba (MOQ ~20-50)</t>
        </is>
      </c>
      <c r="F6" s="7" t="inlineStr">
        <is>
          <t>Alibaba factory (same mould, MOQ 500-3,000)</t>
        </is>
      </c>
      <c r="G6" s="8" t="inlineStr">
        <is>
          <t>link</t>
        </is>
      </c>
      <c r="H6" s="9" t="n">
        <v>1</v>
      </c>
      <c r="I6" s="10" t="n">
        <v>6</v>
      </c>
      <c r="J6" s="10" t="n">
        <v>3.99</v>
      </c>
      <c r="K6" s="10" t="n">
        <v>3.25</v>
      </c>
      <c r="L6" s="11">
        <f>$H6*I6</f>
        <v/>
      </c>
      <c r="M6" s="11">
        <f>$H6*J6</f>
        <v/>
      </c>
      <c r="N6" s="11">
        <f>$H6*K6</f>
        <v/>
      </c>
      <c r="O6" s="11">
        <f>L6*O$3</f>
        <v/>
      </c>
      <c r="P6" s="11">
        <f>M6*P$3</f>
        <v/>
      </c>
      <c r="Q6" s="11">
        <f>N6*Q$3</f>
        <v/>
      </c>
      <c r="R6" s="12" t="inlineStr">
        <is>
          <t>Alibaba listing seen at $3.25-3.99, MOQ 20 [S1]; factories quote $1.50-3.50 at MOQ 3,000 [S2]. @10 = retail clone incl. shipping (estimate).</t>
        </is>
      </c>
    </row>
    <row r="7">
      <c r="A7" s="7" t="n">
        <v>3</v>
      </c>
      <c r="B7" s="7" t="inlineStr">
        <is>
          <t>Camera</t>
        </is>
      </c>
      <c r="C7" s="7" t="inlineStr">
        <is>
          <t>OV5640 AF, 24-pin 0.5 mm FPC DVP, Seeed XIAO-Sense pinout, AF lens</t>
        </is>
      </c>
      <c r="D7" s="7" t="inlineStr">
        <is>
          <t>Seeed SS114993115 (known pinout)</t>
        </is>
      </c>
      <c r="E7" s="7" t="inlineStr">
        <is>
          <t>Alibaba OEM (V-Vision etc.) after pinout check</t>
        </is>
      </c>
      <c r="F7" s="7" t="inlineStr">
        <is>
          <t>Alibaba OEM, custom FPC length</t>
        </is>
      </c>
      <c r="G7" s="8" t="inlineStr">
        <is>
          <t>link</t>
        </is>
      </c>
      <c r="H7" s="9" t="n">
        <v>1</v>
      </c>
      <c r="I7" s="10" t="n">
        <v>12</v>
      </c>
      <c r="J7" s="10" t="n">
        <v>6</v>
      </c>
      <c r="K7" s="10" t="n">
        <v>4.5</v>
      </c>
      <c r="L7" s="11">
        <f>$H7*I7</f>
        <v/>
      </c>
      <c r="M7" s="11">
        <f>$H7*J7</f>
        <v/>
      </c>
      <c r="N7" s="11">
        <f>$H7*K7</f>
        <v/>
      </c>
      <c r="O7" s="11">
        <f>L7*O$3</f>
        <v/>
      </c>
      <c r="P7" s="11">
        <f>M7*P$3</f>
        <v/>
      </c>
      <c r="Q7" s="11">
        <f>N7*Q$3</f>
        <v/>
      </c>
      <c r="R7" s="12" t="inlineStr">
        <is>
          <t>Roadmap table [S8]; Alibaba OV5640 24-pin modules ~$5-18 [S3]; eBay/AliExpress AF 24-pin ~GBP 7.49 [S4].</t>
        </is>
      </c>
    </row>
    <row r="8">
      <c r="A8" s="7" t="n">
        <v>4</v>
      </c>
      <c r="B8" s="7" t="inlineStr">
        <is>
          <t>Display</t>
        </is>
      </c>
      <c r="C8" s="7" t="inlineStr">
        <is>
          <t>2.13" B/W raw e-paper, SSD1680, 250x122, 24-pin 0.5 mm FPC (GDEY0213B74 / Waveshare V4 family)</t>
        </is>
      </c>
      <c r="D8" s="7" t="inlineStr">
        <is>
          <t>Waveshare raw panel</t>
        </is>
      </c>
      <c r="E8" s="7" t="inlineStr">
        <is>
          <t>Good Display direct (RFQ)</t>
        </is>
      </c>
      <c r="F8" s="7" t="inlineStr">
        <is>
          <t>Good Display direct (RFQ)</t>
        </is>
      </c>
      <c r="G8" s="8" t="inlineStr">
        <is>
          <t>link</t>
        </is>
      </c>
      <c r="H8" s="9" t="n">
        <v>1</v>
      </c>
      <c r="I8" s="10" t="n">
        <v>6.6</v>
      </c>
      <c r="J8" s="10" t="n">
        <v>5.5</v>
      </c>
      <c r="K8" s="10" t="n">
        <v>4</v>
      </c>
      <c r="L8" s="11">
        <f>$H8*I8</f>
        <v/>
      </c>
      <c r="M8" s="11">
        <f>$H8*J8</f>
        <v/>
      </c>
      <c r="N8" s="11">
        <f>$H8*K8</f>
        <v/>
      </c>
      <c r="O8" s="11">
        <f>L8*O$3</f>
        <v/>
      </c>
      <c r="P8" s="11">
        <f>M8*P$3</f>
        <v/>
      </c>
      <c r="Q8" s="11">
        <f>N8*Q$3</f>
        <v/>
      </c>
      <c r="R8" s="12" t="inlineStr">
        <is>
          <t>Waveshare $6.31-6.99 [S8]; GDEY0213B74 retail ~EUR 6.89 [S5]; volume price by RFQ to buyepaper@good-display.com (estimate).</t>
        </is>
      </c>
    </row>
    <row r="9">
      <c r="A9" s="7" t="n">
        <v>5</v>
      </c>
      <c r="B9" s="7" t="inlineStr">
        <is>
          <t>Battery</t>
        </is>
      </c>
      <c r="C9" s="7" t="inlineStr">
        <is>
          <t>LiPo 3.7 V ~150 mAh with PCM, JST-PH 2.0 plug (red = +, Adafruit polarity), Adafruit #1317 class 26 × 19.75 × 3.8 mm; max 33.5 × 20.7 × 3.8 mm incl. PCM fold</t>
        </is>
      </c>
      <c r="D9" s="7" t="inlineStr">
        <is>
          <t>Adafruit #1317</t>
        </is>
      </c>
      <c r="E9" s="7" t="inlineStr">
        <is>
          <t>Alibaba stock cell + PH2.0 lead</t>
        </is>
      </c>
      <c r="F9" s="7" t="inlineStr">
        <is>
          <t>Alibaba custom cell (~382026 / 402025 class, 150 mAh) with certs</t>
        </is>
      </c>
      <c r="G9" s="8" t="inlineStr">
        <is>
          <t>link</t>
        </is>
      </c>
      <c r="H9" s="9" t="n">
        <v>1</v>
      </c>
      <c r="I9" s="10" t="n">
        <v>5.95</v>
      </c>
      <c r="J9" s="10" t="n">
        <v>1.8</v>
      </c>
      <c r="K9" s="10" t="n">
        <v>1.3</v>
      </c>
      <c r="L9" s="11">
        <f>$H9*I9</f>
        <v/>
      </c>
      <c r="M9" s="11">
        <f>$H9*J9</f>
        <v/>
      </c>
      <c r="N9" s="11">
        <f>$H9*K9</f>
        <v/>
      </c>
      <c r="O9" s="11">
        <f>L9*O$3</f>
        <v/>
      </c>
      <c r="P9" s="11">
        <f>M9*P$3</f>
        <v/>
      </c>
      <c r="Q9" s="11">
        <f>N9*Q$3</f>
        <v/>
      </c>
      <c r="R9" s="12" t="inlineStr">
        <is>
          <t>Adafruit #1317 $5.95 [S8] (switched from the 100 mAh #1570 on 2026-10-06; same price). Alibaba 401230 listings $0.56-1.60 [S6] are 100 mAh references (401230 is 4.0 x 12 x 30: too thick and wide); ask for a ~150 mAh cell in 26 x 20 x 3.8. @100/@1,000 include PH lead + PCM (estimate). Named bulk candidate (2026-10-10): Taiwoo TW302030, 140 mAh, 30 × 20 × 3.0; fits the fx-115ES spot in CAD when placed 1 mm left of the #1317 position ('Supplier options' row 49); price not yet quoted, so the estimates stand.</t>
        </is>
      </c>
    </row>
    <row r="10">
      <c r="A10" s="7" t="n">
        <v>6</v>
      </c>
      <c r="B10" s="7" t="inlineStr">
        <is>
          <t>Battery</t>
        </is>
      </c>
      <c r="C10" s="7" t="inlineStr">
        <is>
          <t>Dangerous-goods (UN3481) air-freight surcharge for batteries, per unit</t>
        </is>
      </c>
      <c r="D10" s="7" t="inlineStr">
        <is>
          <t>(in Adafruit price)</t>
        </is>
      </c>
      <c r="E10" s="7" t="inlineStr">
        <is>
          <t>Alibaba supplier DG air / express</t>
        </is>
      </c>
      <c r="F10" s="7" t="inlineStr">
        <is>
          <t>Sea or DG air with the cells</t>
        </is>
      </c>
      <c r="G10" s="7" t="inlineStr"/>
      <c r="H10" s="9" t="n">
        <v>1</v>
      </c>
      <c r="I10" s="10" t="n">
        <v>0</v>
      </c>
      <c r="J10" s="10" t="n">
        <v>0.8</v>
      </c>
      <c r="K10" s="10" t="n">
        <v>0.3</v>
      </c>
      <c r="L10" s="11">
        <f>$H10*I10</f>
        <v/>
      </c>
      <c r="M10" s="11">
        <f>$H10*J10</f>
        <v/>
      </c>
      <c r="N10" s="11">
        <f>$H10*K10</f>
        <v/>
      </c>
      <c r="O10" s="11">
        <f>L10*O$3</f>
        <v/>
      </c>
      <c r="P10" s="11">
        <f>M10*P$3</f>
        <v/>
      </c>
      <c r="Q10" s="11">
        <f>N10*Q$3</f>
        <v/>
      </c>
      <c r="R10" s="12" t="inlineStr">
        <is>
          <t>Estimate. Many forwarders refuse loose LiPo; ask the supplier to ship with UN38.3 + MSDS.</t>
        </is>
      </c>
    </row>
    <row r="11">
      <c r="A11" s="7" t="n">
        <v>7</v>
      </c>
      <c r="B11" s="7" t="inlineStr">
        <is>
          <t>Charging</t>
        </is>
      </c>
      <c r="C11" s="7" t="inlineStr">
        <is>
          <t>4-pin magnetic pogo connector pair, ~2.54 mm pitch, board half fits J3 (VBUS, D-, D+, GND from N end)</t>
        </is>
      </c>
      <c r="D11" s="7" t="inlineStr">
        <is>
          <t>Adafruit #5358</t>
        </is>
      </c>
      <c r="E11" s="7" t="inlineStr">
        <is>
          <t>Alibaba RA pogo pair (sample-checked)</t>
        </is>
      </c>
      <c r="F11" s="7" t="inlineStr">
        <is>
          <t>Alibaba OEM pair, drawing-approved</t>
        </is>
      </c>
      <c r="G11" s="8" t="inlineStr">
        <is>
          <t>link</t>
        </is>
      </c>
      <c r="H11" s="9" t="n">
        <v>1</v>
      </c>
      <c r="I11" s="10" t="n">
        <v>5.85</v>
      </c>
      <c r="J11" s="10" t="n">
        <v>1.8</v>
      </c>
      <c r="K11" s="10" t="n">
        <v>1.2</v>
      </c>
      <c r="L11" s="11">
        <f>$H11*I11</f>
        <v/>
      </c>
      <c r="M11" s="11">
        <f>$H11*J11</f>
        <v/>
      </c>
      <c r="N11" s="11">
        <f>$H11*K11</f>
        <v/>
      </c>
      <c r="O11" s="11">
        <f>L11*O$3</f>
        <v/>
      </c>
      <c r="P11" s="11">
        <f>M11*P$3</f>
        <v/>
      </c>
      <c r="Q11" s="11">
        <f>N11*Q$3</f>
        <v/>
      </c>
      <c r="R11" s="12" t="inlineStr">
        <is>
          <t>Adafruit $5.85 @10 [S8]; Alibaba MG04-254-RA $1.80, multiples of 20 [S7]; roadmap $1.20 @1,000 (estimate). Alternate (2026-10-10, from Nirav): Yiwei MG04254FRA1S1N = the same part as Adafruit #5358 (Supplier options row 47); price not checked.</t>
        </is>
      </c>
    </row>
    <row r="12">
      <c r="A12" s="7" t="n">
        <v>8</v>
      </c>
      <c r="B12" s="7" t="inlineStr">
        <is>
          <t>Charging</t>
        </is>
      </c>
      <c r="C12" s="7" t="inlineStr">
        <is>
          <t>Magnetic USB cable for the 4-pin connector (cable N-&gt;S: GND, D+, D-, VBUS), in the box</t>
        </is>
      </c>
      <c r="D12" s="7" t="inlineStr">
        <is>
          <t>Adafruit #5412</t>
        </is>
      </c>
      <c r="E12" s="7" t="inlineStr">
        <is>
          <t>Alibaba (same supplier as connector)</t>
        </is>
      </c>
      <c r="F12" s="7" t="inlineStr">
        <is>
          <t>Alibaba OEM, same supplier as connector</t>
        </is>
      </c>
      <c r="G12" s="8" t="inlineStr">
        <is>
          <t>link</t>
        </is>
      </c>
      <c r="H12" s="9" t="n">
        <v>1</v>
      </c>
      <c r="I12" s="10" t="n">
        <v>4.95</v>
      </c>
      <c r="J12" s="10" t="n">
        <v>1.8</v>
      </c>
      <c r="K12" s="10" t="n">
        <v>1.4</v>
      </c>
      <c r="L12" s="11">
        <f>$H12*I12</f>
        <v/>
      </c>
      <c r="M12" s="11">
        <f>$H12*J12</f>
        <v/>
      </c>
      <c r="N12" s="11">
        <f>$H12*K12</f>
        <v/>
      </c>
      <c r="O12" s="11">
        <f>L12*O$3</f>
        <v/>
      </c>
      <c r="P12" s="11">
        <f>M12*P$3</f>
        <v/>
      </c>
      <c r="Q12" s="11">
        <f>N12*Q$3</f>
        <v/>
      </c>
      <c r="R12" s="12" t="inlineStr">
        <is>
          <t>Adafruit $4.95 [S8]; roadmap estimate $1.40-1.80 for OEM cable. Alternate (2026-10-10, from Nirav): Yiwei MG0425-UB-60-4P = equivalent of #5412, reads GND, D+, D−, V+ from its N end (Supplier options row 48); price not checked.</t>
        </is>
      </c>
    </row>
    <row r="13">
      <c r="A13" s="7" t="n">
        <v>9</v>
      </c>
      <c r="B13" s="7" t="inlineStr">
        <is>
          <t>Packaging</t>
        </is>
      </c>
      <c r="C13" s="7" t="inlineStr">
        <is>
          <t>Retail box + foam/EVA insert (printed)</t>
        </is>
      </c>
      <c r="D13" s="7" t="inlineStr">
        <is>
          <t>Plain mailer box (local / Amazon)</t>
        </is>
      </c>
      <c r="E13" s="7" t="inlineStr">
        <is>
          <t>Alibaba custom rigid box, MOQ 100</t>
        </is>
      </c>
      <c r="F13" s="7" t="inlineStr">
        <is>
          <t>Alibaba custom box + die-cut insert</t>
        </is>
      </c>
      <c r="G13" s="8" t="inlineStr">
        <is>
          <t>link</t>
        </is>
      </c>
      <c r="H13" s="9" t="n">
        <v>1</v>
      </c>
      <c r="I13" s="10" t="n">
        <v>1.5</v>
      </c>
      <c r="J13" s="10" t="n">
        <v>1</v>
      </c>
      <c r="K13" s="10" t="n">
        <v>0.6</v>
      </c>
      <c r="L13" s="11">
        <f>$H13*I13</f>
        <v/>
      </c>
      <c r="M13" s="11">
        <f>$H13*J13</f>
        <v/>
      </c>
      <c r="N13" s="11">
        <f>$H13*K13</f>
        <v/>
      </c>
      <c r="O13" s="11">
        <f>L13*O$3</f>
        <v/>
      </c>
      <c r="P13" s="11">
        <f>M13*P$3</f>
        <v/>
      </c>
      <c r="Q13" s="11">
        <f>N13*Q$3</f>
        <v/>
      </c>
      <c r="R13" s="12" t="inlineStr">
        <is>
          <t>Alibaba rigid boxes w/ foam insert $0.50-1.00 at MOQ 100 [S9]; @10 estimate.</t>
        </is>
      </c>
    </row>
    <row r="14">
      <c r="A14" s="7" t="n">
        <v>10</v>
      </c>
      <c r="B14" s="7" t="inlineStr">
        <is>
          <t>Packaging</t>
        </is>
      </c>
      <c r="C14" s="7" t="inlineStr">
        <is>
          <t>Quick-start card / small manual (with 'not affiliated with Casio', FCC text later)</t>
        </is>
      </c>
      <c r="D14" s="7" t="inlineStr">
        <is>
          <t>Home print</t>
        </is>
      </c>
      <c r="E14" s="7" t="inlineStr">
        <is>
          <t>Local / online printer</t>
        </is>
      </c>
      <c r="F14" s="7" t="inlineStr">
        <is>
          <t>Alibaba printer (MOQ 500)</t>
        </is>
      </c>
      <c r="G14" s="8" t="inlineStr">
        <is>
          <t>link</t>
        </is>
      </c>
      <c r="H14" s="9" t="n">
        <v>1</v>
      </c>
      <c r="I14" s="10" t="n">
        <v>0.1</v>
      </c>
      <c r="J14" s="10" t="n">
        <v>0.25</v>
      </c>
      <c r="K14" s="10" t="n">
        <v>0.05</v>
      </c>
      <c r="L14" s="11">
        <f>$H14*I14</f>
        <v/>
      </c>
      <c r="M14" s="11">
        <f>$H14*J14</f>
        <v/>
      </c>
      <c r="N14" s="11">
        <f>$H14*K14</f>
        <v/>
      </c>
      <c r="O14" s="11">
        <f>L14*O$3</f>
        <v/>
      </c>
      <c r="P14" s="11">
        <f>M14*P$3</f>
        <v/>
      </c>
      <c r="Q14" s="11">
        <f>N14*Q$3</f>
        <v/>
      </c>
      <c r="R14" s="12" t="inlineStr">
        <is>
          <t>Manual printing $0.03 (500+) to $0.01 (10k+) [S10]; small runs estimate.</t>
        </is>
      </c>
    </row>
    <row r="15">
      <c r="A15" s="7" t="n">
        <v>11</v>
      </c>
      <c r="B15" s="7" t="inlineStr">
        <is>
          <t>Packaging</t>
        </is>
      </c>
      <c r="C15" s="7" t="inlineStr">
        <is>
          <t>Serial / QC label sticker + polybag for calculator</t>
        </is>
      </c>
      <c r="D15" s="7" t="inlineStr">
        <is>
          <t>Home print</t>
        </is>
      </c>
      <c r="E15" s="7" t="inlineStr">
        <is>
          <t>Online label printer</t>
        </is>
      </c>
      <c r="F15" s="7" t="inlineStr">
        <is>
          <t>Alibaba / Uline</t>
        </is>
      </c>
      <c r="G15" s="8" t="inlineStr">
        <is>
          <t>link</t>
        </is>
      </c>
      <c r="H15" s="9" t="n">
        <v>1</v>
      </c>
      <c r="I15" s="10" t="n">
        <v>0.15</v>
      </c>
      <c r="J15" s="10" t="n">
        <v>0.1</v>
      </c>
      <c r="K15" s="10" t="n">
        <v>0.05</v>
      </c>
      <c r="L15" s="11">
        <f>$H15*I15</f>
        <v/>
      </c>
      <c r="M15" s="11">
        <f>$H15*J15</f>
        <v/>
      </c>
      <c r="N15" s="11">
        <f>$H15*K15</f>
        <v/>
      </c>
      <c r="O15" s="11">
        <f>L15*O$3</f>
        <v/>
      </c>
      <c r="P15" s="11">
        <f>M15*P$3</f>
        <v/>
      </c>
      <c r="Q15" s="11">
        <f>N15*Q$3</f>
        <v/>
      </c>
      <c r="R15" s="12" t="inlineStr">
        <is>
          <t>Estimate.</t>
        </is>
      </c>
    </row>
    <row r="16">
      <c r="A16" s="7" t="n">
        <v>12</v>
      </c>
      <c r="B16" s="7" t="inlineStr">
        <is>
          <t>Consumables</t>
        </is>
      </c>
      <c r="C16" s="7" t="inlineStr">
        <is>
          <t>Kapton tape 10 mm, thin double-sided tape (3M 9448A-type), B-7000/E6000 glue; per unit share</t>
        </is>
      </c>
      <c r="D16" s="7" t="inlineStr">
        <is>
          <t>Amazon / AliExpress</t>
        </is>
      </c>
      <c r="E16" s="7" t="inlineStr">
        <is>
          <t>AliExpress / LCSC</t>
        </is>
      </c>
      <c r="F16" s="7" t="inlineStr">
        <is>
          <t>Alibaba bulk rolls</t>
        </is>
      </c>
      <c r="G16" s="8" t="inlineStr">
        <is>
          <t>link</t>
        </is>
      </c>
      <c r="H16" s="9" t="n">
        <v>1</v>
      </c>
      <c r="I16" s="10" t="n">
        <v>0.5</v>
      </c>
      <c r="J16" s="10" t="n">
        <v>0.3</v>
      </c>
      <c r="K16" s="10" t="n">
        <v>0.2</v>
      </c>
      <c r="L16" s="11">
        <f>$H16*I16</f>
        <v/>
      </c>
      <c r="M16" s="11">
        <f>$H16*J16</f>
        <v/>
      </c>
      <c r="N16" s="11">
        <f>$H16*K16</f>
        <v/>
      </c>
      <c r="O16" s="11">
        <f>L16*O$3</f>
        <v/>
      </c>
      <c r="P16" s="11">
        <f>M16*P$3</f>
        <v/>
      </c>
      <c r="Q16" s="11">
        <f>N16*Q$3</f>
        <v/>
      </c>
      <c r="R16" s="12" t="inlineStr">
        <is>
          <t>Estimate (a 30 m roll covers roughly 100+ units).</t>
        </is>
      </c>
    </row>
    <row r="17">
      <c r="A17" s="7" t="n">
        <v>13</v>
      </c>
      <c r="B17" s="7" t="inlineStr">
        <is>
          <t>Freight</t>
        </is>
      </c>
      <c r="C17" s="7" t="inlineStr">
        <is>
          <t>Inbound freight + US import duty on China content (PCBA, parts, shells)</t>
        </is>
      </c>
      <c r="D17" s="7" t="inlineStr">
        <is>
          <t>DHL (JLCPCB DDP)</t>
        </is>
      </c>
      <c r="E17" s="7" t="inlineStr">
        <is>
          <t>DHL / consolidated</t>
        </is>
      </c>
      <c r="F17" s="7" t="inlineStr">
        <is>
          <t>Forwarder, sea/air LCL</t>
        </is>
      </c>
      <c r="G17" s="8" t="inlineStr">
        <is>
          <t>link</t>
        </is>
      </c>
      <c r="H17" s="9" t="n">
        <v>1</v>
      </c>
      <c r="I17" s="10" t="n">
        <v>8</v>
      </c>
      <c r="J17" s="10" t="n">
        <v>8</v>
      </c>
      <c r="K17" s="10" t="n">
        <v>5</v>
      </c>
      <c r="L17" s="11">
        <f>$H17*I17</f>
        <v/>
      </c>
      <c r="M17" s="11">
        <f>$H17*J17</f>
        <v/>
      </c>
      <c r="N17" s="11">
        <f>$H17*K17</f>
        <v/>
      </c>
      <c r="O17" s="11">
        <f>L17*O$3</f>
        <v/>
      </c>
      <c r="P17" s="11">
        <f>M17*P$3</f>
        <v/>
      </c>
      <c r="Q17" s="11">
        <f>N17*Q$3</f>
        <v/>
      </c>
      <c r="R17" s="12" t="inlineStr">
        <is>
          <t>Roadmap table, assumes ~35 % duty (low end of 35-92.5 %) [S8]. Biggest swing factor.</t>
        </is>
      </c>
    </row>
    <row r="18">
      <c r="A18" s="7" t="n">
        <v>14</v>
      </c>
      <c r="B18" s="7" t="inlineStr">
        <is>
          <t>Labour</t>
        </is>
      </c>
      <c r="C18" s="7" t="inlineStr">
        <is>
          <t>Final assembly (strip knockoff, mask, grind, fit board, test)</t>
        </is>
      </c>
      <c r="D18" s="7" t="inlineStr">
        <is>
          <t>Nirav</t>
        </is>
      </c>
      <c r="E18" s="7" t="inlineStr">
        <is>
          <t>Nirav (+ jig)</t>
        </is>
      </c>
      <c r="F18" s="7" t="inlineStr">
        <is>
          <t>EMS box build / local helper</t>
        </is>
      </c>
      <c r="G18" s="7" t="inlineStr"/>
      <c r="H18" s="9" t="n">
        <v>1</v>
      </c>
      <c r="I18" s="10" t="n">
        <v>0</v>
      </c>
      <c r="J18" s="10" t="n">
        <v>0</v>
      </c>
      <c r="K18" s="10" t="n">
        <v>2.5</v>
      </c>
      <c r="L18" s="11">
        <f>$H18*I18</f>
        <v/>
      </c>
      <c r="M18" s="11">
        <f>$H18*J18</f>
        <v/>
      </c>
      <c r="N18" s="11">
        <f>$H18*K18</f>
        <v/>
      </c>
      <c r="O18" s="11">
        <f>L18*O$3</f>
        <v/>
      </c>
      <c r="P18" s="11">
        <f>M18*P$3</f>
        <v/>
      </c>
      <c r="Q18" s="11">
        <f>N18*Q$3</f>
        <v/>
      </c>
      <c r="R18" s="12" t="inlineStr">
        <is>
          <t>Roadmap table (estimate). Your own time is not costed at 10/100.</t>
        </is>
      </c>
    </row>
    <row r="19">
      <c r="A19" s="7" t="n">
        <v>15</v>
      </c>
      <c r="B19" s="7" t="inlineStr">
        <is>
          <t>Overage</t>
        </is>
      </c>
      <c r="C19" s="7" t="inlineStr">
        <is>
          <t>Scrap + spares allowance (% of rows above, excl. labour) — DOA cameras/panels, cracked shells</t>
        </is>
      </c>
      <c r="D19" s="7" t="inlineStr">
        <is>
          <t>Allowance %:</t>
        </is>
      </c>
      <c r="E19" s="7" t="n"/>
      <c r="F19" s="7" t="n"/>
      <c r="G19" s="7" t="n"/>
      <c r="H19" s="7" t="n"/>
      <c r="I19" s="13" t="n">
        <v>0.1</v>
      </c>
      <c r="J19" s="13" t="n">
        <v>0.07000000000000001</v>
      </c>
      <c r="K19" s="13" t="n">
        <v>0.05</v>
      </c>
      <c r="L19" s="14">
        <f>I19*(SUM(L5:L18)-L18)</f>
        <v/>
      </c>
      <c r="M19" s="14">
        <f>J19*(SUM(M5:M18)-M18)</f>
        <v/>
      </c>
      <c r="N19" s="14">
        <f>K19*(SUM(N5:N18)-N18)</f>
        <v/>
      </c>
      <c r="O19" s="14">
        <f>L19*O$3</f>
        <v/>
      </c>
      <c r="P19" s="14">
        <f>M19*P$3</f>
        <v/>
      </c>
      <c r="Q19" s="14">
        <f>N19*Q$3</f>
        <v/>
      </c>
      <c r="R19" s="12" t="inlineStr">
        <is>
          <t>Estimate. Order this many extra parts, not just budget for them.</t>
        </is>
      </c>
    </row>
    <row r="20">
      <c r="A20" s="7" t="n">
        <v>16</v>
      </c>
      <c r="B20" s="7" t="inlineStr">
        <is>
          <t>One-time</t>
        </is>
      </c>
      <c r="C20" s="7" t="inlineStr">
        <is>
          <t>Samples from each supplier (2 each, from 2 suppliers per part) + express shipping</t>
        </is>
      </c>
      <c r="D20" s="7" t="n"/>
      <c r="E20" s="7" t="n"/>
      <c r="F20" s="7" t="n"/>
      <c r="G20" s="7" t="n"/>
      <c r="H20" s="7" t="inlineStr">
        <is>
          <t>per batch</t>
        </is>
      </c>
      <c r="I20" s="10" t="n">
        <v>150</v>
      </c>
      <c r="J20" s="10" t="n">
        <v>150</v>
      </c>
      <c r="K20" s="10" t="n">
        <v>120</v>
      </c>
      <c r="L20" s="14">
        <f>I20/O$3</f>
        <v/>
      </c>
      <c r="M20" s="14">
        <f>J20/P$3</f>
        <v/>
      </c>
      <c r="N20" s="14">
        <f>K20/Q$3</f>
        <v/>
      </c>
      <c r="O20" s="14">
        <f>I20</f>
        <v/>
      </c>
      <c r="P20" s="14">
        <f>J20</f>
        <v/>
      </c>
      <c r="Q20" s="14">
        <f>K20</f>
        <v/>
      </c>
      <c r="R20" s="12" t="inlineStr">
        <is>
          <t>Estimate. Per-unit = amount / batch size. Repeat a smaller sample round whenever you change supplier.</t>
        </is>
      </c>
    </row>
    <row r="21">
      <c r="A21" s="7" t="n">
        <v>17</v>
      </c>
      <c r="B21" s="7" t="inlineStr">
        <is>
          <t>One-time</t>
        </is>
      </c>
      <c r="C21" s="7" t="inlineStr">
        <is>
          <t>Pre-shipment inspection / golden-sample sign-off (third-party QC, e.g. 1 man-day)</t>
        </is>
      </c>
      <c r="D21" s="7" t="n"/>
      <c r="E21" s="7" t="n"/>
      <c r="F21" s="7" t="n"/>
      <c r="G21" s="7" t="n"/>
      <c r="H21" s="7" t="inlineStr">
        <is>
          <t>per batch</t>
        </is>
      </c>
      <c r="I21" s="10" t="n">
        <v>0</v>
      </c>
      <c r="J21" s="10" t="n">
        <v>0</v>
      </c>
      <c r="K21" s="10" t="n">
        <v>300</v>
      </c>
      <c r="L21" s="14">
        <f>I21/O$3</f>
        <v/>
      </c>
      <c r="M21" s="14">
        <f>J21/P$3</f>
        <v/>
      </c>
      <c r="N21" s="14">
        <f>K21/Q$3</f>
        <v/>
      </c>
      <c r="O21" s="14">
        <f>I21</f>
        <v/>
      </c>
      <c r="P21" s="14">
        <f>J21</f>
        <v/>
      </c>
      <c r="Q21" s="14">
        <f>K21</f>
        <v/>
      </c>
      <c r="R21" s="12" t="inlineStr">
        <is>
          <t>Estimate (~$300 per man-day typical). Only worth it at 1,000.</t>
        </is>
      </c>
    </row>
    <row r="22">
      <c r="A22" s="7" t="n">
        <v>18</v>
      </c>
      <c r="B22" s="7" t="inlineStr">
        <is>
          <t>One-time</t>
        </is>
      </c>
      <c r="C22" s="7" t="inlineStr">
        <is>
          <t>Test jig (pogo bed + spring pins) and fixtures</t>
        </is>
      </c>
      <c r="D22" s="7" t="n"/>
      <c r="E22" s="7" t="n"/>
      <c r="F22" s="7" t="n"/>
      <c r="G22" s="7" t="n"/>
      <c r="H22" s="7" t="inlineStr">
        <is>
          <t>per batch</t>
        </is>
      </c>
      <c r="I22" s="10" t="n">
        <v>0</v>
      </c>
      <c r="J22" s="10" t="n">
        <v>100</v>
      </c>
      <c r="K22" s="10" t="n">
        <v>150</v>
      </c>
      <c r="L22" s="14">
        <f>I22/O$3</f>
        <v/>
      </c>
      <c r="M22" s="14">
        <f>J22/P$3</f>
        <v/>
      </c>
      <c r="N22" s="14">
        <f>K22/Q$3</f>
        <v/>
      </c>
      <c r="O22" s="14">
        <f>I22</f>
        <v/>
      </c>
      <c r="P22" s="14">
        <f>J22</f>
        <v/>
      </c>
      <c r="Q22" s="14">
        <f>K22</f>
        <v/>
      </c>
      <c r="R22" s="12" t="inlineStr">
        <is>
          <t>Roadmap §5 estimate $50-150.</t>
        </is>
      </c>
    </row>
    <row r="23">
      <c r="A23" s="15" t="n"/>
      <c r="B23" s="15" t="n"/>
      <c r="C23" s="15" t="inlineStr">
        <is>
          <t>TOTAL</t>
        </is>
      </c>
      <c r="D23" s="15" t="n"/>
      <c r="E23" s="15" t="n"/>
      <c r="F23" s="15" t="n"/>
      <c r="G23" s="15" t="n"/>
      <c r="H23" s="15" t="n"/>
      <c r="I23" s="15" t="n"/>
      <c r="J23" s="15" t="n"/>
      <c r="K23" s="15" t="inlineStr">
        <is>
          <t>Per-unit / batch →</t>
        </is>
      </c>
      <c r="L23" s="16">
        <f>SUM(L5:L22)</f>
        <v/>
      </c>
      <c r="M23" s="16">
        <f>SUM(M5:M22)</f>
        <v/>
      </c>
      <c r="N23" s="16">
        <f>SUM(N5:N22)</f>
        <v/>
      </c>
      <c r="O23" s="16">
        <f>SUM(O5:O22)</f>
        <v/>
      </c>
      <c r="P23" s="16">
        <f>SUM(P5:P22)</f>
        <v/>
      </c>
      <c r="Q23" s="16">
        <f>SUM(Q5:Q22)</f>
        <v/>
      </c>
      <c r="R23" s="15" t="n"/>
    </row>
    <row r="24">
      <c r="A24" s="5" t="n"/>
      <c r="B24" s="5" t="n"/>
      <c r="C24" s="5" t="inlineStr">
        <is>
          <t>Check: batch total / batch size (should equal the per-unit total)</t>
        </is>
      </c>
      <c r="D24" s="5" t="n"/>
      <c r="E24" s="5" t="n"/>
      <c r="F24" s="5" t="n"/>
      <c r="G24" s="5" t="n"/>
      <c r="H24" s="5" t="n"/>
      <c r="I24" s="5" t="n"/>
      <c r="J24" s="5" t="n"/>
      <c r="K24" s="5" t="n"/>
      <c r="L24" s="17">
        <f>O23/O$3</f>
        <v/>
      </c>
      <c r="M24" s="17">
        <f>P23/P$3</f>
        <v/>
      </c>
      <c r="N24" s="17">
        <f>Q23/Q$3</f>
        <v/>
      </c>
      <c r="O24" s="5" t="n"/>
      <c r="P24" s="5" t="n"/>
      <c r="Q24" s="5" t="n"/>
      <c r="R24" s="5" t="n"/>
    </row>
    <row r="26">
      <c r="A26" s="5" t="inlineStr">
        <is>
          <t>Note: Not included: FCC SDoC, LLC, lawyer, trademark (≈ $3.5k one-time before selling, roadmap §4), Claude API cost, sales-channel fees, your own time.</t>
        </is>
      </c>
    </row>
    <row r="27">
      <c r="A27" s="5" t="inlineStr">
        <is>
          <t>Note: Bold assumption: the v14 board fits the knockoff shell. It was laid out for the fx-115ES (posts, key pads, ribs). See 'Checks before bulk' row 1.</t>
        </is>
      </c>
    </row>
    <row r="28">
      <c r="A28" s="5" t="inlineStr">
        <is>
          <t>Note: At 10 units the cheapest path is mostly retail (Adafruit, Seeed, Waveshare, AliExpress). Alibaba starts paying off at 100; custom battery/connector at ~500+.</t>
        </is>
      </c>
    </row>
  </sheetData>
  <mergeCells count="4">
    <mergeCell ref="A27:R27"/>
    <mergeCell ref="A26:R26"/>
    <mergeCell ref="A2:R2"/>
    <mergeCell ref="A28:R28"/>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9"/>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1" customWidth="1" min="2" max="2"/>
    <col width="46" customWidth="1" min="3" max="3"/>
    <col width="20" customWidth="1" min="4" max="4"/>
    <col width="22" customWidth="1" min="5" max="5"/>
    <col width="24" customWidth="1" min="6" max="6"/>
    <col width="7" customWidth="1" min="7" max="7"/>
    <col width="8" customWidth="1" min="8" max="8"/>
    <col width="10" customWidth="1" min="9" max="9"/>
    <col width="10" customWidth="1" min="10" max="10"/>
    <col width="10" customWidth="1" min="11" max="11"/>
    <col width="11" customWidth="1" min="12" max="12"/>
    <col width="11" customWidth="1" min="13" max="13"/>
    <col width="11" customWidth="1" min="14" max="14"/>
    <col width="12" customWidth="1" min="15" max="15"/>
    <col width="12" customWidth="1" min="16" max="16"/>
    <col width="13" customWidth="1" min="17" max="17"/>
    <col width="60" customWidth="1" min="18" max="18"/>
  </cols>
  <sheetData>
    <row r="1">
      <c r="A1" s="24" t="inlineStr">
        <is>
          <t>AI Calculator v15-LCD: bulk cost per unit at 10 / 100 / 1,000 units (1.9" colour LCD instead of the e-paper; knockoff 991ES-style shell)</t>
        </is>
      </c>
    </row>
    <row r="2">
      <c r="A2" s="5" t="inlineStr">
        <is>
          <t>Added 2026-10-08, updated 2026-10-08 evening. Same layout as 'Cost by batch'; every row links to it except row 1 (PCBA + v15 change) and row 4 (LCD panel). Blue = inputs. v15 board verified 'ORDER' (hardware/verification/14_v15_final_preorder.md); upload files hardware/fab_v15_lcd/, steps hardware/ORDER_WALKTHROUGH_v15_lcd.md. Panel: BuyDisplay ER-TFT019-1 (datasheet-verified). Bigger battery option below the total.</t>
        </is>
      </c>
    </row>
    <row r="3">
      <c r="N3" s="3" t="inlineStr">
        <is>
          <t>Batch size →</t>
        </is>
      </c>
      <c r="O3" s="25">
        <f>'Cost by batch'!O3</f>
        <v/>
      </c>
      <c r="P3" s="25">
        <f>'Cost by batch'!P3</f>
        <v/>
      </c>
      <c r="Q3" s="25">
        <f>'Cost by batch'!Q3</f>
        <v/>
      </c>
      <c r="R3" s="5" t="inlineStr">
        <is>
          <t>← batch sizes come from 'Cost by batch'</t>
        </is>
      </c>
    </row>
    <row r="4">
      <c r="A4" s="6" t="inlineStr">
        <is>
          <t>#</t>
        </is>
      </c>
      <c r="B4" s="6" t="inlineStr">
        <is>
          <t>Category</t>
        </is>
      </c>
      <c r="C4" s="6" t="inlineStr">
        <is>
          <t>Item &amp; key spec</t>
        </is>
      </c>
      <c r="D4" s="6" t="inlineStr">
        <is>
          <t>Source @10</t>
        </is>
      </c>
      <c r="E4" s="6" t="inlineStr">
        <is>
          <t>Source @100</t>
        </is>
      </c>
      <c r="F4" s="6" t="inlineStr">
        <is>
          <t>Source @1,000</t>
        </is>
      </c>
      <c r="G4" s="6" t="inlineStr">
        <is>
          <t>Main link</t>
        </is>
      </c>
      <c r="H4" s="6" t="inlineStr">
        <is>
          <t>Qty / unit</t>
        </is>
      </c>
      <c r="I4" s="6" t="inlineStr">
        <is>
          <t>Unit $ @10</t>
        </is>
      </c>
      <c r="J4" s="6" t="inlineStr">
        <is>
          <t>Unit $ @100</t>
        </is>
      </c>
      <c r="K4" s="6" t="inlineStr">
        <is>
          <t>Unit $ @1,000</t>
        </is>
      </c>
      <c r="L4" s="6" t="inlineStr">
        <is>
          <t>Per-unit $ @10</t>
        </is>
      </c>
      <c r="M4" s="6" t="inlineStr">
        <is>
          <t>Per-unit $ @100</t>
        </is>
      </c>
      <c r="N4" s="6" t="inlineStr">
        <is>
          <t>Per-unit $ @1,000</t>
        </is>
      </c>
      <c r="O4" s="6" t="inlineStr">
        <is>
          <t>Batch total @10</t>
        </is>
      </c>
      <c r="P4" s="6" t="inlineStr">
        <is>
          <t>Batch total @100</t>
        </is>
      </c>
      <c r="Q4" s="6" t="inlineStr">
        <is>
          <t>Batch total @1,000</t>
        </is>
      </c>
      <c r="R4" s="6" t="inlineStr">
        <is>
          <t>Price basis / notes</t>
        </is>
      </c>
    </row>
    <row r="5">
      <c r="A5" s="7" t="n">
        <v>1</v>
      </c>
      <c r="B5" s="7" t="inlineStr">
        <is>
          <t>PCBA</t>
        </is>
      </c>
      <c r="C5" s="7" t="inlineStr">
        <is>
          <t>Main board v15-LCD: PCB 2-layer 0.8 mm ENIG + Standard PCBA (v14 board minus the e-paper booster, plus J5 30-pin socket, Q4/Q5 LCD power + backlight FETs, R23 15 Ω C22810)</t>
        </is>
      </c>
      <c r="D5" s="7" t="inlineStr">
        <is>
          <t>JLCPCB</t>
        </is>
      </c>
      <c r="E5" s="7" t="inlineStr">
        <is>
          <t>JLCPCB</t>
        </is>
      </c>
      <c r="F5" s="7" t="inlineStr">
        <is>
          <t>JLCPCB (Economic/Standard PCBA)</t>
        </is>
      </c>
      <c r="G5" s="8" t="inlineStr">
        <is>
          <t>link</t>
        </is>
      </c>
      <c r="H5" s="9" t="n">
        <v>1</v>
      </c>
      <c r="I5" s="14">
        <f>'Cost by batch'!I5+$I$35-$I$36+$I$37*$I$38/O$3</f>
        <v/>
      </c>
      <c r="J5" s="14">
        <f>'Cost by batch'!J5+$I$35-$I$36+$I$37*$I$38/P$3</f>
        <v/>
      </c>
      <c r="K5" s="14">
        <f>'Cost by batch'!K5+$I$35-$I$36+$I$37*$I$38/Q$3</f>
        <v/>
      </c>
      <c r="L5" s="11">
        <f>$H5*I5</f>
        <v/>
      </c>
      <c r="M5" s="11">
        <f>$H5*J5</f>
        <v/>
      </c>
      <c r="N5" s="11">
        <f>$H5*K5</f>
        <v/>
      </c>
      <c r="O5" s="11">
        <f>L5*O$3</f>
        <v/>
      </c>
      <c r="P5" s="11">
        <f>M5*P$3</f>
        <v/>
      </c>
      <c r="Q5" s="11">
        <f>N5*Q$3</f>
        <v/>
      </c>
      <c r="R5" s="12" t="inlineStr">
        <is>
          <t>'Cost by batch' PCBA price + (parts added − removed) + extended-type change × $3 ÷ batch. Files: hardware/fab_v15_lcd/ (21:38). Verified ORDER (review 14), not yet ordered.</t>
        </is>
      </c>
    </row>
    <row r="6">
      <c r="A6" s="7" t="n">
        <v>2</v>
      </c>
      <c r="B6" s="7" t="inlineStr">
        <is>
          <t>Shell</t>
        </is>
      </c>
      <c r="C6" s="7" t="inlineStr">
        <is>
          <t>Knockoff 991ES PLUS-style calculator (shell, key mat, window, screws, slide cover); board removed</t>
        </is>
      </c>
      <c r="D6" s="7" t="inlineStr">
        <is>
          <t>AliExpress / Amazon (MOQ 1)</t>
        </is>
      </c>
      <c r="E6" s="7" t="inlineStr">
        <is>
          <t>Alibaba (MOQ ~20-50)</t>
        </is>
      </c>
      <c r="F6" s="7" t="inlineStr">
        <is>
          <t>Alibaba factory (same mould, MOQ 500-3,000)</t>
        </is>
      </c>
      <c r="G6" s="8" t="inlineStr">
        <is>
          <t>link</t>
        </is>
      </c>
      <c r="H6" s="7">
        <f>'Cost by batch'!H6</f>
        <v/>
      </c>
      <c r="I6" s="14">
        <f>'Cost by batch'!I6</f>
        <v/>
      </c>
      <c r="J6" s="14">
        <f>'Cost by batch'!J6</f>
        <v/>
      </c>
      <c r="K6" s="14">
        <f>'Cost by batch'!K6</f>
        <v/>
      </c>
      <c r="L6" s="11">
        <f>$H6*I6</f>
        <v/>
      </c>
      <c r="M6" s="11">
        <f>$H6*J6</f>
        <v/>
      </c>
      <c r="N6" s="11">
        <f>$H6*K6</f>
        <v/>
      </c>
      <c r="O6" s="11">
        <f>L6*O$3</f>
        <v/>
      </c>
      <c r="P6" s="11">
        <f>M6*P$3</f>
        <v/>
      </c>
      <c r="Q6" s="11">
        <f>N6*Q$3</f>
        <v/>
      </c>
      <c r="R6" s="12" t="inlineStr">
        <is>
          <t>Alibaba listing seen at $3.25-3.99, MOQ 20 [S1]; factories quote $1.50-3.50 at MOQ 3,000 [S2]. @10 = retail clone incl. shipping (estimate).</t>
        </is>
      </c>
    </row>
    <row r="7">
      <c r="A7" s="7" t="n">
        <v>3</v>
      </c>
      <c r="B7" s="7" t="inlineStr">
        <is>
          <t>Camera</t>
        </is>
      </c>
      <c r="C7" s="7" t="inlineStr">
        <is>
          <t>OV5640 AF, 24-pin 0.5 mm FPC DVP, Seeed XIAO-Sense pinout, AF lens</t>
        </is>
      </c>
      <c r="D7" s="7" t="inlineStr">
        <is>
          <t>Seeed SS114993115 (known pinout)</t>
        </is>
      </c>
      <c r="E7" s="7" t="inlineStr">
        <is>
          <t>Alibaba OEM (V-Vision etc.) after pinout check</t>
        </is>
      </c>
      <c r="F7" s="7" t="inlineStr">
        <is>
          <t>Alibaba OEM, custom FPC length</t>
        </is>
      </c>
      <c r="G7" s="8" t="inlineStr">
        <is>
          <t>link</t>
        </is>
      </c>
      <c r="H7" s="7">
        <f>'Cost by batch'!H7</f>
        <v/>
      </c>
      <c r="I7" s="14">
        <f>'Cost by batch'!I7</f>
        <v/>
      </c>
      <c r="J7" s="14">
        <f>'Cost by batch'!J7</f>
        <v/>
      </c>
      <c r="K7" s="14">
        <f>'Cost by batch'!K7</f>
        <v/>
      </c>
      <c r="L7" s="11">
        <f>$H7*I7</f>
        <v/>
      </c>
      <c r="M7" s="11">
        <f>$H7*J7</f>
        <v/>
      </c>
      <c r="N7" s="11">
        <f>$H7*K7</f>
        <v/>
      </c>
      <c r="O7" s="11">
        <f>L7*O$3</f>
        <v/>
      </c>
      <c r="P7" s="11">
        <f>M7*P$3</f>
        <v/>
      </c>
      <c r="Q7" s="11">
        <f>N7*Q$3</f>
        <v/>
      </c>
      <c r="R7" s="12" t="inlineStr">
        <is>
          <t>Roadmap table [S8]; Alibaba OV5640 24-pin modules ~$5-18 [S3]; eBay/AliExpress AF 24-pin ~GBP 7.49 [S4].</t>
        </is>
      </c>
    </row>
    <row r="8">
      <c r="A8" s="7" t="n">
        <v>4</v>
      </c>
      <c r="B8" s="7" t="inlineStr">
        <is>
          <t>Display</t>
        </is>
      </c>
      <c r="C8" s="7" t="inlineStr">
        <is>
          <t>1.9" 170×320 IPS LCD, ST7789, 30-pin 0.5 mm FPC (36.6 mm tail), 4 white LEDs; TFT1901 / N190-1732TBWPG01 family (LilyGO T-Display-S3 panel)</t>
        </is>
      </c>
      <c r="D8" s="7" t="inlineStr">
        <is>
          <t>BuyDisplay ER-TFT019-1, no touch (datasheet-verified pin for pin)</t>
        </is>
      </c>
      <c r="E8" s="7" t="inlineStr">
        <is>
          <t>Alibaba Goldenmorning T190X7-C30-01 / ZJY, after a sample check</t>
        </is>
      </c>
      <c r="F8" s="7" t="inlineStr">
        <is>
          <t>Alibaba / panel maker; optional short-tail FPC (Goldenmorning, TSD, NoseDisplay, BuyDisplay custom FPC)</t>
        </is>
      </c>
      <c r="G8" s="8" t="inlineStr">
        <is>
          <t>link</t>
        </is>
      </c>
      <c r="H8" s="9" t="n">
        <v>1</v>
      </c>
      <c r="I8" s="14">
        <f>$I$31+$I$32/O$3</f>
        <v/>
      </c>
      <c r="J8" s="14">
        <f>$I$33</f>
        <v/>
      </c>
      <c r="K8" s="14">
        <f>$I$34</f>
        <v/>
      </c>
      <c r="L8" s="11">
        <f>$H8*I8</f>
        <v/>
      </c>
      <c r="M8" s="11">
        <f>$H8*J8</f>
        <v/>
      </c>
      <c r="N8" s="11">
        <f>$H8*K8</f>
        <v/>
      </c>
      <c r="O8" s="11">
        <f>L8*O$3</f>
        <v/>
      </c>
      <c r="P8" s="11">
        <f>M8*P$3</f>
        <v/>
      </c>
      <c r="Q8" s="11">
        <f>N8*Q$3</f>
        <v/>
      </c>
      <c r="R8" s="12" t="inlineStr">
        <is>
          <t>@10: BuyDisplay ER-TFT019-1 $6.22 each @10 ($5.71 @100) + one shipping charge shared by the batch (estimate). @100/@1,000: Alibaba ZJY (Zhengzhou Zhongjingyuan) ST7789V3 30-pin $2.50 @100 / $2.30 @1,000, MOQ 2, or Goldenmorning T190X7-C30-01 (plastic frame) (hardware/production/lcd_suppliers.json; search-snippet prices, confirm by quote and a sample check) [S15]. Adafruit #5394 ($17.50) is only an optional fallback now.</t>
        </is>
      </c>
    </row>
    <row r="9">
      <c r="A9" s="7" t="n">
        <v>5</v>
      </c>
      <c r="B9" s="7" t="inlineStr">
        <is>
          <t>Battery</t>
        </is>
      </c>
      <c r="C9" s="7" t="inlineStr">
        <is>
          <t>LiPo 3.7 V ~150 mAh with PCM, JST-PH 2.0 plug (red = +, Adafruit polarity), Adafruit #1317 class 26 × 19.75 × 3.8 mm; max 33.5 × 20.7 × 3.8 mm incl. PCM fold</t>
        </is>
      </c>
      <c r="D9" s="7" t="inlineStr">
        <is>
          <t>Adafruit #1317</t>
        </is>
      </c>
      <c r="E9" s="7" t="inlineStr">
        <is>
          <t>Alibaba stock cell + PH2.0 lead</t>
        </is>
      </c>
      <c r="F9" s="7" t="inlineStr">
        <is>
          <t>Alibaba custom cell (~382026 / 402025 class, 150 mAh) with certs</t>
        </is>
      </c>
      <c r="G9" s="8" t="inlineStr">
        <is>
          <t>link</t>
        </is>
      </c>
      <c r="H9" s="7">
        <f>'Cost by batch'!H9</f>
        <v/>
      </c>
      <c r="I9" s="14">
        <f>'Cost by batch'!I9</f>
        <v/>
      </c>
      <c r="J9" s="14">
        <f>'Cost by batch'!J9</f>
        <v/>
      </c>
      <c r="K9" s="14">
        <f>'Cost by batch'!K9</f>
        <v/>
      </c>
      <c r="L9" s="11">
        <f>$H9*I9</f>
        <v/>
      </c>
      <c r="M9" s="11">
        <f>$H9*J9</f>
        <v/>
      </c>
      <c r="N9" s="11">
        <f>$H9*K9</f>
        <v/>
      </c>
      <c r="O9" s="11">
        <f>L9*O$3</f>
        <v/>
      </c>
      <c r="P9" s="11">
        <f>M9*P$3</f>
        <v/>
      </c>
      <c r="Q9" s="11">
        <f>N9*Q$3</f>
        <v/>
      </c>
      <c r="R9" s="12" t="inlineStr">
        <is>
          <t>Adafruit #1317 $5.95 [S8] (switched from the 100 mAh #1570 on 2026-10-06; same price). Alibaba 401230 listings $0.56-1.60 [S6] are 100 mAh references (401230 is 4.0 x 12 x 30: too thick and wide); ask for a ~150 mAh cell in 26 x 20 x 3.8. @100/@1,000 include PH lead + PCM (estimate).</t>
        </is>
      </c>
    </row>
    <row r="10">
      <c r="A10" s="7" t="n">
        <v>6</v>
      </c>
      <c r="B10" s="7" t="inlineStr">
        <is>
          <t>Battery</t>
        </is>
      </c>
      <c r="C10" s="7" t="inlineStr">
        <is>
          <t>Dangerous-goods (UN3481) air-freight surcharge for batteries, per unit</t>
        </is>
      </c>
      <c r="D10" s="7" t="inlineStr">
        <is>
          <t>(in Adafruit price)</t>
        </is>
      </c>
      <c r="E10" s="7" t="inlineStr">
        <is>
          <t>Alibaba supplier DG air / express</t>
        </is>
      </c>
      <c r="F10" s="7" t="inlineStr">
        <is>
          <t>Sea or DG air with the cells</t>
        </is>
      </c>
      <c r="G10" s="7" t="n"/>
      <c r="H10" s="7">
        <f>'Cost by batch'!H10</f>
        <v/>
      </c>
      <c r="I10" s="14">
        <f>'Cost by batch'!I10</f>
        <v/>
      </c>
      <c r="J10" s="14">
        <f>'Cost by batch'!J10</f>
        <v/>
      </c>
      <c r="K10" s="14">
        <f>'Cost by batch'!K10</f>
        <v/>
      </c>
      <c r="L10" s="11">
        <f>$H10*I10</f>
        <v/>
      </c>
      <c r="M10" s="11">
        <f>$H10*J10</f>
        <v/>
      </c>
      <c r="N10" s="11">
        <f>$H10*K10</f>
        <v/>
      </c>
      <c r="O10" s="11">
        <f>L10*O$3</f>
        <v/>
      </c>
      <c r="P10" s="11">
        <f>M10*P$3</f>
        <v/>
      </c>
      <c r="Q10" s="11">
        <f>N10*Q$3</f>
        <v/>
      </c>
      <c r="R10" s="12" t="inlineStr">
        <is>
          <t>Estimate. Many forwarders refuse loose LiPo; ask the supplier to ship with UN38.3 + MSDS.</t>
        </is>
      </c>
    </row>
    <row r="11">
      <c r="A11" s="7" t="n">
        <v>7</v>
      </c>
      <c r="B11" s="7" t="inlineStr">
        <is>
          <t>Charging</t>
        </is>
      </c>
      <c r="C11" s="7" t="inlineStr">
        <is>
          <t>4-pin magnetic pogo connector pair, ~2.54 mm pitch, board half fits J3 (VBUS, D-, D+, GND from N end)</t>
        </is>
      </c>
      <c r="D11" s="7" t="inlineStr">
        <is>
          <t>Adafruit #5358</t>
        </is>
      </c>
      <c r="E11" s="7" t="inlineStr">
        <is>
          <t>Alibaba RA pogo pair (sample-checked)</t>
        </is>
      </c>
      <c r="F11" s="7" t="inlineStr">
        <is>
          <t>Alibaba OEM pair, drawing-approved</t>
        </is>
      </c>
      <c r="G11" s="8" t="inlineStr">
        <is>
          <t>link</t>
        </is>
      </c>
      <c r="H11" s="7">
        <f>'Cost by batch'!H11</f>
        <v/>
      </c>
      <c r="I11" s="14">
        <f>'Cost by batch'!I11</f>
        <v/>
      </c>
      <c r="J11" s="14">
        <f>'Cost by batch'!J11</f>
        <v/>
      </c>
      <c r="K11" s="14">
        <f>'Cost by batch'!K11</f>
        <v/>
      </c>
      <c r="L11" s="11">
        <f>$H11*I11</f>
        <v/>
      </c>
      <c r="M11" s="11">
        <f>$H11*J11</f>
        <v/>
      </c>
      <c r="N11" s="11">
        <f>$H11*K11</f>
        <v/>
      </c>
      <c r="O11" s="11">
        <f>L11*O$3</f>
        <v/>
      </c>
      <c r="P11" s="11">
        <f>M11*P$3</f>
        <v/>
      </c>
      <c r="Q11" s="11">
        <f>N11*Q$3</f>
        <v/>
      </c>
      <c r="R11" s="12" t="inlineStr">
        <is>
          <t>Adafruit $5.85 @10 [S8]; Alibaba MG04-254-RA $1.80, multiples of 20 [S7]; roadmap $1.20 @1,000 (estimate). Alternate (2026-10-10, from Nirav): Yiwei MG04254FRA1S1N = the same part as Adafruit #5358 (Supplier options row 47); price not checked.</t>
        </is>
      </c>
    </row>
    <row r="12">
      <c r="A12" s="7" t="n">
        <v>8</v>
      </c>
      <c r="B12" s="7" t="inlineStr">
        <is>
          <t>Charging</t>
        </is>
      </c>
      <c r="C12" s="7" t="inlineStr">
        <is>
          <t>Magnetic USB cable for the 4-pin connector (cable N-&gt;S: GND, D+, D-, VBUS), in the box</t>
        </is>
      </c>
      <c r="D12" s="7" t="inlineStr">
        <is>
          <t>Adafruit #5412</t>
        </is>
      </c>
      <c r="E12" s="7" t="inlineStr">
        <is>
          <t>Alibaba (same supplier as connector)</t>
        </is>
      </c>
      <c r="F12" s="7" t="inlineStr">
        <is>
          <t>Alibaba OEM, same supplier as connector</t>
        </is>
      </c>
      <c r="G12" s="8" t="inlineStr">
        <is>
          <t>link</t>
        </is>
      </c>
      <c r="H12" s="7">
        <f>'Cost by batch'!H12</f>
        <v/>
      </c>
      <c r="I12" s="14">
        <f>'Cost by batch'!I12</f>
        <v/>
      </c>
      <c r="J12" s="14">
        <f>'Cost by batch'!J12</f>
        <v/>
      </c>
      <c r="K12" s="14">
        <f>'Cost by batch'!K12</f>
        <v/>
      </c>
      <c r="L12" s="11">
        <f>$H12*I12</f>
        <v/>
      </c>
      <c r="M12" s="11">
        <f>$H12*J12</f>
        <v/>
      </c>
      <c r="N12" s="11">
        <f>$H12*K12</f>
        <v/>
      </c>
      <c r="O12" s="11">
        <f>L12*O$3</f>
        <v/>
      </c>
      <c r="P12" s="11">
        <f>M12*P$3</f>
        <v/>
      </c>
      <c r="Q12" s="11">
        <f>N12*Q$3</f>
        <v/>
      </c>
      <c r="R12" s="12" t="inlineStr">
        <is>
          <t>Adafruit $4.95 [S8]; roadmap estimate $1.40-1.80 for OEM cable. Alternate (2026-10-10, from Nirav): Yiwei MG0425-UB-60-4P = equivalent of #5412, reads GND, D+, D−, V+ from its N end (Supplier options row 48); price not checked.</t>
        </is>
      </c>
    </row>
    <row r="13">
      <c r="A13" s="7" t="n">
        <v>9</v>
      </c>
      <c r="B13" s="7" t="inlineStr">
        <is>
          <t>Packaging</t>
        </is>
      </c>
      <c r="C13" s="7" t="inlineStr">
        <is>
          <t>Retail box + foam/EVA insert (printed)</t>
        </is>
      </c>
      <c r="D13" s="7" t="inlineStr">
        <is>
          <t>Plain mailer box (local / Amazon)</t>
        </is>
      </c>
      <c r="E13" s="7" t="inlineStr">
        <is>
          <t>Alibaba custom rigid box, MOQ 100</t>
        </is>
      </c>
      <c r="F13" s="7" t="inlineStr">
        <is>
          <t>Alibaba custom box + die-cut insert</t>
        </is>
      </c>
      <c r="G13" s="8" t="inlineStr">
        <is>
          <t>link</t>
        </is>
      </c>
      <c r="H13" s="7">
        <f>'Cost by batch'!H13</f>
        <v/>
      </c>
      <c r="I13" s="14">
        <f>'Cost by batch'!I13</f>
        <v/>
      </c>
      <c r="J13" s="14">
        <f>'Cost by batch'!J13</f>
        <v/>
      </c>
      <c r="K13" s="14">
        <f>'Cost by batch'!K13</f>
        <v/>
      </c>
      <c r="L13" s="11">
        <f>$H13*I13</f>
        <v/>
      </c>
      <c r="M13" s="11">
        <f>$H13*J13</f>
        <v/>
      </c>
      <c r="N13" s="11">
        <f>$H13*K13</f>
        <v/>
      </c>
      <c r="O13" s="11">
        <f>L13*O$3</f>
        <v/>
      </c>
      <c r="P13" s="11">
        <f>M13*P$3</f>
        <v/>
      </c>
      <c r="Q13" s="11">
        <f>N13*Q$3</f>
        <v/>
      </c>
      <c r="R13" s="12" t="inlineStr">
        <is>
          <t>Alibaba rigid boxes w/ foam insert $0.50-1.00 at MOQ 100 [S9]; @10 estimate.</t>
        </is>
      </c>
    </row>
    <row r="14">
      <c r="A14" s="7" t="n">
        <v>10</v>
      </c>
      <c r="B14" s="7" t="inlineStr">
        <is>
          <t>Packaging</t>
        </is>
      </c>
      <c r="C14" s="7" t="inlineStr">
        <is>
          <t>Quick-start card / small manual (with 'not affiliated with Casio', FCC text later)</t>
        </is>
      </c>
      <c r="D14" s="7" t="inlineStr">
        <is>
          <t>Home print</t>
        </is>
      </c>
      <c r="E14" s="7" t="inlineStr">
        <is>
          <t>Local / online printer</t>
        </is>
      </c>
      <c r="F14" s="7" t="inlineStr">
        <is>
          <t>Alibaba printer (MOQ 500)</t>
        </is>
      </c>
      <c r="G14" s="8" t="inlineStr">
        <is>
          <t>link</t>
        </is>
      </c>
      <c r="H14" s="7">
        <f>'Cost by batch'!H14</f>
        <v/>
      </c>
      <c r="I14" s="14">
        <f>'Cost by batch'!I14</f>
        <v/>
      </c>
      <c r="J14" s="14">
        <f>'Cost by batch'!J14</f>
        <v/>
      </c>
      <c r="K14" s="14">
        <f>'Cost by batch'!K14</f>
        <v/>
      </c>
      <c r="L14" s="11">
        <f>$H14*I14</f>
        <v/>
      </c>
      <c r="M14" s="11">
        <f>$H14*J14</f>
        <v/>
      </c>
      <c r="N14" s="11">
        <f>$H14*K14</f>
        <v/>
      </c>
      <c r="O14" s="11">
        <f>L14*O$3</f>
        <v/>
      </c>
      <c r="P14" s="11">
        <f>M14*P$3</f>
        <v/>
      </c>
      <c r="Q14" s="11">
        <f>N14*Q$3</f>
        <v/>
      </c>
      <c r="R14" s="12" t="inlineStr">
        <is>
          <t>Manual printing $0.03 (500+) to $0.01 (10k+) [S10]; small runs estimate.</t>
        </is>
      </c>
    </row>
    <row r="15">
      <c r="A15" s="7" t="n">
        <v>11</v>
      </c>
      <c r="B15" s="7" t="inlineStr">
        <is>
          <t>Packaging</t>
        </is>
      </c>
      <c r="C15" s="7" t="inlineStr">
        <is>
          <t>Serial / QC label sticker + polybag for calculator</t>
        </is>
      </c>
      <c r="D15" s="7" t="inlineStr">
        <is>
          <t>Home print</t>
        </is>
      </c>
      <c r="E15" s="7" t="inlineStr">
        <is>
          <t>Online label printer</t>
        </is>
      </c>
      <c r="F15" s="7" t="inlineStr">
        <is>
          <t>Alibaba / Uline</t>
        </is>
      </c>
      <c r="G15" s="8" t="inlineStr">
        <is>
          <t>link</t>
        </is>
      </c>
      <c r="H15" s="7">
        <f>'Cost by batch'!H15</f>
        <v/>
      </c>
      <c r="I15" s="14">
        <f>'Cost by batch'!I15</f>
        <v/>
      </c>
      <c r="J15" s="14">
        <f>'Cost by batch'!J15</f>
        <v/>
      </c>
      <c r="K15" s="14">
        <f>'Cost by batch'!K15</f>
        <v/>
      </c>
      <c r="L15" s="11">
        <f>$H15*I15</f>
        <v/>
      </c>
      <c r="M15" s="11">
        <f>$H15*J15</f>
        <v/>
      </c>
      <c r="N15" s="11">
        <f>$H15*K15</f>
        <v/>
      </c>
      <c r="O15" s="11">
        <f>L15*O$3</f>
        <v/>
      </c>
      <c r="P15" s="11">
        <f>M15*P$3</f>
        <v/>
      </c>
      <c r="Q15" s="11">
        <f>N15*Q$3</f>
        <v/>
      </c>
      <c r="R15" s="12" t="inlineStr">
        <is>
          <t>Estimate.</t>
        </is>
      </c>
    </row>
    <row r="16">
      <c r="A16" s="7" t="n">
        <v>12</v>
      </c>
      <c r="B16" s="7" t="inlineStr">
        <is>
          <t>Consumables</t>
        </is>
      </c>
      <c r="C16" s="7" t="inlineStr">
        <is>
          <t>Kapton tape 10 mm, thin double-sided tape (3M 9448A-type), B-7000/E6000 glue; per unit share</t>
        </is>
      </c>
      <c r="D16" s="7" t="inlineStr">
        <is>
          <t>Amazon / AliExpress</t>
        </is>
      </c>
      <c r="E16" s="7" t="inlineStr">
        <is>
          <t>AliExpress / LCSC</t>
        </is>
      </c>
      <c r="F16" s="7" t="inlineStr">
        <is>
          <t>Alibaba bulk rolls</t>
        </is>
      </c>
      <c r="G16" s="8" t="inlineStr">
        <is>
          <t>link</t>
        </is>
      </c>
      <c r="H16" s="7">
        <f>'Cost by batch'!H16</f>
        <v/>
      </c>
      <c r="I16" s="14">
        <f>'Cost by batch'!I16</f>
        <v/>
      </c>
      <c r="J16" s="14">
        <f>'Cost by batch'!J16</f>
        <v/>
      </c>
      <c r="K16" s="14">
        <f>'Cost by batch'!K16</f>
        <v/>
      </c>
      <c r="L16" s="11">
        <f>$H16*I16</f>
        <v/>
      </c>
      <c r="M16" s="11">
        <f>$H16*J16</f>
        <v/>
      </c>
      <c r="N16" s="11">
        <f>$H16*K16</f>
        <v/>
      </c>
      <c r="O16" s="11">
        <f>L16*O$3</f>
        <v/>
      </c>
      <c r="P16" s="11">
        <f>M16*P$3</f>
        <v/>
      </c>
      <c r="Q16" s="11">
        <f>N16*Q$3</f>
        <v/>
      </c>
      <c r="R16" s="12" t="inlineStr">
        <is>
          <t>Estimate (a 30 m roll covers roughly 100+ units).</t>
        </is>
      </c>
    </row>
    <row r="17">
      <c r="A17" s="7" t="n">
        <v>13</v>
      </c>
      <c r="B17" s="7" t="inlineStr">
        <is>
          <t>Freight</t>
        </is>
      </c>
      <c r="C17" s="7" t="inlineStr">
        <is>
          <t>Inbound freight + US import duty on China content (PCBA, parts, shells)</t>
        </is>
      </c>
      <c r="D17" s="7" t="inlineStr">
        <is>
          <t>DHL (JLCPCB DDP)</t>
        </is>
      </c>
      <c r="E17" s="7" t="inlineStr">
        <is>
          <t>DHL / consolidated</t>
        </is>
      </c>
      <c r="F17" s="7" t="inlineStr">
        <is>
          <t>Forwarder, sea/air LCL</t>
        </is>
      </c>
      <c r="G17" s="8" t="inlineStr">
        <is>
          <t>link</t>
        </is>
      </c>
      <c r="H17" s="7">
        <f>'Cost by batch'!H17</f>
        <v/>
      </c>
      <c r="I17" s="14">
        <f>'Cost by batch'!I17</f>
        <v/>
      </c>
      <c r="J17" s="14">
        <f>'Cost by batch'!J17</f>
        <v/>
      </c>
      <c r="K17" s="14">
        <f>'Cost by batch'!K17</f>
        <v/>
      </c>
      <c r="L17" s="11">
        <f>$H17*I17</f>
        <v/>
      </c>
      <c r="M17" s="11">
        <f>$H17*J17</f>
        <v/>
      </c>
      <c r="N17" s="11">
        <f>$H17*K17</f>
        <v/>
      </c>
      <c r="O17" s="11">
        <f>L17*O$3</f>
        <v/>
      </c>
      <c r="P17" s="11">
        <f>M17*P$3</f>
        <v/>
      </c>
      <c r="Q17" s="11">
        <f>N17*Q$3</f>
        <v/>
      </c>
      <c r="R17" s="12" t="inlineStr">
        <is>
          <t>Roadmap table, assumes ~35 % duty (low end of 35-92.5 %) [S8]. Biggest swing factor.</t>
        </is>
      </c>
    </row>
    <row r="18">
      <c r="A18" s="7" t="n">
        <v>14</v>
      </c>
      <c r="B18" s="7" t="inlineStr">
        <is>
          <t>Labour</t>
        </is>
      </c>
      <c r="C18" s="7" t="inlineStr">
        <is>
          <t>Final assembly (strip knockoff, mask, grind, fit board, test)</t>
        </is>
      </c>
      <c r="D18" s="7" t="inlineStr">
        <is>
          <t>Nirav</t>
        </is>
      </c>
      <c r="E18" s="7" t="inlineStr">
        <is>
          <t>Nirav (+ jig)</t>
        </is>
      </c>
      <c r="F18" s="7" t="inlineStr">
        <is>
          <t>EMS box build / local helper</t>
        </is>
      </c>
      <c r="G18" s="7" t="n"/>
      <c r="H18" s="7">
        <f>'Cost by batch'!H18</f>
        <v/>
      </c>
      <c r="I18" s="14">
        <f>'Cost by batch'!I18</f>
        <v/>
      </c>
      <c r="J18" s="14">
        <f>'Cost by batch'!J18</f>
        <v/>
      </c>
      <c r="K18" s="14">
        <f>'Cost by batch'!K18</f>
        <v/>
      </c>
      <c r="L18" s="11">
        <f>$H18*I18</f>
        <v/>
      </c>
      <c r="M18" s="11">
        <f>$H18*J18</f>
        <v/>
      </c>
      <c r="N18" s="11">
        <f>$H18*K18</f>
        <v/>
      </c>
      <c r="O18" s="11">
        <f>L18*O$3</f>
        <v/>
      </c>
      <c r="P18" s="11">
        <f>M18*P$3</f>
        <v/>
      </c>
      <c r="Q18" s="11">
        <f>N18*Q$3</f>
        <v/>
      </c>
      <c r="R18" s="12" t="inlineStr">
        <is>
          <t>Roadmap table (estimate). Your own time is not costed at 10/100.</t>
        </is>
      </c>
    </row>
    <row r="19">
      <c r="A19" s="7" t="n">
        <v>15</v>
      </c>
      <c r="B19" s="7" t="inlineStr">
        <is>
          <t>Overage</t>
        </is>
      </c>
      <c r="C19" s="7" t="inlineStr">
        <is>
          <t>Scrap + spares allowance (% of rows above, excl. labour) — DOA cameras/panels, cracked shells</t>
        </is>
      </c>
      <c r="D19" s="7" t="inlineStr">
        <is>
          <t>Allowance %:</t>
        </is>
      </c>
      <c r="E19" s="7" t="n"/>
      <c r="F19" s="7" t="n"/>
      <c r="G19" s="7" t="n"/>
      <c r="H19" s="7" t="n"/>
      <c r="I19" s="26">
        <f>'Cost by batch'!I19</f>
        <v/>
      </c>
      <c r="J19" s="26">
        <f>'Cost by batch'!J19</f>
        <v/>
      </c>
      <c r="K19" s="26">
        <f>'Cost by batch'!K19</f>
        <v/>
      </c>
      <c r="L19" s="14">
        <f>I19*(SUM(L5:L18)-L18)</f>
        <v/>
      </c>
      <c r="M19" s="14">
        <f>J19*(SUM(M5:M18)-M18)</f>
        <v/>
      </c>
      <c r="N19" s="14">
        <f>K19*(SUM(N5:N18)-N18)</f>
        <v/>
      </c>
      <c r="O19" s="14">
        <f>L19*O$3</f>
        <v/>
      </c>
      <c r="P19" s="14">
        <f>M19*P$3</f>
        <v/>
      </c>
      <c r="Q19" s="14">
        <f>N19*Q$3</f>
        <v/>
      </c>
      <c r="R19" s="12" t="inlineStr">
        <is>
          <t>Estimate. Order this many extra parts, not just budget for them.</t>
        </is>
      </c>
    </row>
    <row r="20">
      <c r="A20" s="7" t="n">
        <v>16</v>
      </c>
      <c r="B20" s="7" t="inlineStr">
        <is>
          <t>One-time</t>
        </is>
      </c>
      <c r="C20" s="7" t="inlineStr">
        <is>
          <t>Samples from each supplier (2 each, from 2 suppliers per part) + express shipping</t>
        </is>
      </c>
      <c r="D20" s="7" t="n"/>
      <c r="E20" s="7" t="n"/>
      <c r="F20" s="7" t="n"/>
      <c r="G20" s="7" t="n"/>
      <c r="H20" s="7" t="inlineStr">
        <is>
          <t>per batch</t>
        </is>
      </c>
      <c r="I20" s="14">
        <f>'Cost by batch'!I20</f>
        <v/>
      </c>
      <c r="J20" s="14">
        <f>'Cost by batch'!J20</f>
        <v/>
      </c>
      <c r="K20" s="14">
        <f>'Cost by batch'!K20</f>
        <v/>
      </c>
      <c r="L20" s="14">
        <f>I20/O$3</f>
        <v/>
      </c>
      <c r="M20" s="14">
        <f>J20/P$3</f>
        <v/>
      </c>
      <c r="N20" s="14">
        <f>K20/Q$3</f>
        <v/>
      </c>
      <c r="O20" s="14">
        <f>I20</f>
        <v/>
      </c>
      <c r="P20" s="14">
        <f>J20</f>
        <v/>
      </c>
      <c r="Q20" s="14">
        <f>K20</f>
        <v/>
      </c>
      <c r="R20" s="12" t="inlineStr">
        <is>
          <t>Estimate. Per-unit = amount / batch size. Repeat a smaller sample round whenever you change supplier.</t>
        </is>
      </c>
    </row>
    <row r="21">
      <c r="A21" s="7" t="n">
        <v>17</v>
      </c>
      <c r="B21" s="7" t="inlineStr">
        <is>
          <t>One-time</t>
        </is>
      </c>
      <c r="C21" s="7" t="inlineStr">
        <is>
          <t>Pre-shipment inspection / golden-sample sign-off (third-party QC, e.g. 1 man-day)</t>
        </is>
      </c>
      <c r="D21" s="7" t="n"/>
      <c r="E21" s="7" t="n"/>
      <c r="F21" s="7" t="n"/>
      <c r="G21" s="7" t="n"/>
      <c r="H21" s="7" t="inlineStr">
        <is>
          <t>per batch</t>
        </is>
      </c>
      <c r="I21" s="14">
        <f>'Cost by batch'!I21</f>
        <v/>
      </c>
      <c r="J21" s="14">
        <f>'Cost by batch'!J21</f>
        <v/>
      </c>
      <c r="K21" s="14">
        <f>'Cost by batch'!K21</f>
        <v/>
      </c>
      <c r="L21" s="14">
        <f>I21/O$3</f>
        <v/>
      </c>
      <c r="M21" s="14">
        <f>J21/P$3</f>
        <v/>
      </c>
      <c r="N21" s="14">
        <f>K21/Q$3</f>
        <v/>
      </c>
      <c r="O21" s="14">
        <f>I21</f>
        <v/>
      </c>
      <c r="P21" s="14">
        <f>J21</f>
        <v/>
      </c>
      <c r="Q21" s="14">
        <f>K21</f>
        <v/>
      </c>
      <c r="R21" s="12" t="inlineStr">
        <is>
          <t>Estimate (~$300 per man-day typical). Only worth it at 1,000.</t>
        </is>
      </c>
    </row>
    <row r="22">
      <c r="A22" s="7" t="n">
        <v>18</v>
      </c>
      <c r="B22" s="7" t="inlineStr">
        <is>
          <t>One-time</t>
        </is>
      </c>
      <c r="C22" s="7" t="inlineStr">
        <is>
          <t>Test jig (pogo bed + spring pins) and fixtures</t>
        </is>
      </c>
      <c r="D22" s="7" t="n"/>
      <c r="E22" s="7" t="n"/>
      <c r="F22" s="7" t="n"/>
      <c r="G22" s="7" t="n"/>
      <c r="H22" s="7" t="inlineStr">
        <is>
          <t>per batch</t>
        </is>
      </c>
      <c r="I22" s="14">
        <f>'Cost by batch'!I22</f>
        <v/>
      </c>
      <c r="J22" s="14">
        <f>'Cost by batch'!J22</f>
        <v/>
      </c>
      <c r="K22" s="14">
        <f>'Cost by batch'!K22</f>
        <v/>
      </c>
      <c r="L22" s="14">
        <f>I22/O$3</f>
        <v/>
      </c>
      <c r="M22" s="14">
        <f>J22/P$3</f>
        <v/>
      </c>
      <c r="N22" s="14">
        <f>K22/Q$3</f>
        <v/>
      </c>
      <c r="O22" s="14">
        <f>I22</f>
        <v/>
      </c>
      <c r="P22" s="14">
        <f>J22</f>
        <v/>
      </c>
      <c r="Q22" s="14">
        <f>K22</f>
        <v/>
      </c>
      <c r="R22" s="12" t="inlineStr">
        <is>
          <t>Roadmap §5 estimate $50-150.</t>
        </is>
      </c>
    </row>
    <row r="23">
      <c r="A23" s="15" t="n"/>
      <c r="B23" s="15" t="n"/>
      <c r="C23" s="15" t="inlineStr">
        <is>
          <t>TOTAL</t>
        </is>
      </c>
      <c r="D23" s="15" t="n"/>
      <c r="E23" s="15" t="n"/>
      <c r="F23" s="15" t="n"/>
      <c r="G23" s="15" t="n"/>
      <c r="H23" s="15" t="n"/>
      <c r="I23" s="15" t="n"/>
      <c r="J23" s="15" t="n"/>
      <c r="K23" s="15" t="inlineStr">
        <is>
          <t>Per-unit / batch →</t>
        </is>
      </c>
      <c r="L23" s="16">
        <f>SUM(L5:L22)</f>
        <v/>
      </c>
      <c r="M23" s="16">
        <f>SUM(M5:M22)</f>
        <v/>
      </c>
      <c r="N23" s="16">
        <f>SUM(N5:N22)</f>
        <v/>
      </c>
      <c r="O23" s="16">
        <f>SUM(O5:O22)</f>
        <v/>
      </c>
      <c r="P23" s="16">
        <f>SUM(P5:P22)</f>
        <v/>
      </c>
      <c r="Q23" s="16">
        <f>SUM(Q5:Q22)</f>
        <v/>
      </c>
      <c r="R23" s="15" t="n"/>
    </row>
    <row r="24">
      <c r="A24" s="5" t="n"/>
      <c r="B24" s="5" t="n"/>
      <c r="C24" s="5" t="inlineStr">
        <is>
          <t>Check: batch total / batch size (should equal the per-unit total)</t>
        </is>
      </c>
      <c r="D24" s="5" t="n"/>
      <c r="E24" s="5" t="n"/>
      <c r="F24" s="5" t="n"/>
      <c r="G24" s="5" t="n"/>
      <c r="H24" s="5" t="n"/>
      <c r="I24" s="5" t="n"/>
      <c r="J24" s="5" t="n"/>
      <c r="K24" s="5" t="n"/>
      <c r="L24" s="17">
        <f>O23/O$3</f>
        <v/>
      </c>
      <c r="M24" s="17">
        <f>P23/P$3</f>
        <v/>
      </c>
      <c r="N24" s="17">
        <f>Q23/Q$3</f>
        <v/>
      </c>
      <c r="O24" s="5" t="n"/>
      <c r="P24" s="5" t="n"/>
      <c r="Q24" s="5" t="n"/>
      <c r="R24" s="5" t="n"/>
    </row>
    <row r="26">
      <c r="A26" s="5" t="inlineStr">
        <is>
          <t>Note: LCD vs e-paper: the panel itself is ~$6.22 at 10 (BuyDisplay) and ~$2.30-2.50 at 100+ (Alibaba) instead of $4-6.60, and the board loses 17 booster parts and gains 7. But the LCD draws ~80-90 mA with the screen on: ~1.5 h screen-on on the 150 mAh cell (stage15_lcd.md §3), so the long-term pairing is the 1,200-1,500 mAh cell below.</t>
        </is>
      </c>
    </row>
    <row r="27">
      <c r="A27" s="5" t="inlineStr">
        <is>
          <t>Note: Not included (as on 'Cost by batch'): FCC SDoC, LLC, lawyer, trademark (≈ $3.5k one-time), Claude API, sales fees. Full model: hardware/production/COST_MODEL.xlsx 'Versions'.</t>
        </is>
      </c>
    </row>
    <row r="30">
      <c r="A30" s="21" t="inlineStr">
        <is>
          <t>Inputs for the LCD version</t>
        </is>
      </c>
    </row>
    <row r="31">
      <c r="C31" s="27" t="inlineStr">
        <is>
          <t>LCD panel @10: BuyDisplay ER-TFT019-1 (no touch), per panel at the 10-pc price</t>
        </is>
      </c>
      <c r="I31" s="28" t="n">
        <v>6.22</v>
      </c>
      <c r="R31" s="2" t="inlineStr">
        <is>
          <t>Given 2026-10-08 (review 14 / LCD_PANEL_OPTIONS.md): ~$6-7 each, $6.22 @10, $5.71 @100. Datasheet rev 2.0 checked pin for pin.</t>
        </is>
      </c>
    </row>
    <row r="32">
      <c r="C32" s="27" t="inlineStr">
        <is>
          <t>BuyDisplay shipping per order (estimate)</t>
        </is>
      </c>
      <c r="I32" s="28" t="n">
        <v>12</v>
      </c>
      <c r="R32" s="2" t="inlineStr">
        <is>
          <t>Estimate, not quoted: check at checkout on buydisplay.com and replace.</t>
        </is>
      </c>
    </row>
    <row r="33">
      <c r="C33" s="27" t="inlineStr">
        <is>
          <t>LCD panel @100 (Alibaba / panel maker)</t>
        </is>
      </c>
      <c r="I33" s="28" t="n">
        <v>2.5</v>
      </c>
      <c r="R33" s="2" t="inlineStr">
        <is>
          <t>Alibaba ZJY (Zhengzhou Zhongjingyuan) ST7789V3 30-pin $2.50 @100 / $2.30 @1,000, MOQ 2 (hardware/production/lcd_suppliers.json, 2026-10-08; search-snippet prices, confirm by quote) [S15].</t>
        </is>
      </c>
    </row>
    <row r="34">
      <c r="C34" s="27" t="inlineStr">
        <is>
          <t>LCD panel @1,000 (Alibaba / panel maker, maybe short-tail FPC)</t>
        </is>
      </c>
      <c r="I34" s="28" t="n">
        <v>2.3</v>
      </c>
      <c r="R34" s="2" t="inlineStr">
        <is>
          <t>Alibaba ZJY (Zhengzhou Zhongjingyuan) ST7789V3 30-pin $2.50 @100 / $2.30 @1,000, MOQ 2 (hardware/production/lcd_suppliers.json, 2026-10-08; search-snippet prices, confirm by quote) [S15]. Ask NoseDisplay / BuyDisplay / QDtech for an 18-20 mm FPC tail.</t>
        </is>
      </c>
    </row>
    <row r="35">
      <c r="C35" s="27" t="inlineStr">
        <is>
          <t>v15 parts added per board: J5 C2919501 $0.36 + Q4 AO3401A $0.10 + Q5 AO3400A C20917 $0.09 + R21, R22, C36 3 × $0.002 + R23 15 Ω C22810 $0.0013</t>
        </is>
      </c>
      <c r="I35" s="28" t="n">
        <v>0.5573</v>
      </c>
      <c r="R35" s="2" t="inlineStr">
        <is>
          <t>JLCPCB prices 2026-10-08 (stage15_lcd.md §3; R23 changed to 15 Ω C22810 in review 14).</t>
        </is>
      </c>
    </row>
    <row r="36">
      <c r="C36" s="27" t="inlineStr">
        <is>
          <t>v14 e-paper parts removed per board: J2, L1, Q3, R11, R12, D3-D5, C20-C30 (17 parts)</t>
        </is>
      </c>
      <c r="I36" s="28" t="n">
        <v>0.75</v>
      </c>
      <c r="R36" s="2" t="inlineStr">
        <is>
          <t>Estimate from LCSC 1-off prices; stage 15: board ≈ $1 cheaper.</t>
        </is>
      </c>
    </row>
    <row r="37">
      <c r="C37" s="27" t="inlineStr">
        <is>
          <t>Change in JLCPCB extended part types (L1, Q3, R12 out; J5 C2919501 and R23 C22810 in)</t>
        </is>
      </c>
      <c r="I37" s="29" t="n">
        <v>-1</v>
      </c>
      <c r="R37" s="2" t="inlineStr">
        <is>
          <t>v14 had 14 extended types, v15 has 13 (review 14 stock list). $3 per type per order.</t>
        </is>
      </c>
    </row>
    <row r="38">
      <c r="C38" s="27" t="inlineStr">
        <is>
          <t>Extended-part fee per type per order</t>
        </is>
      </c>
      <c r="I38" s="28" t="n">
        <v>3</v>
      </c>
      <c r="R38" s="2" t="inlineStr">
        <is>
          <t>JLCPCB rule (roadmap §3.1).</t>
        </is>
      </c>
    </row>
    <row r="40">
      <c r="A40" s="21" t="inlineStr">
        <is>
          <t>Compare and bigger-battery option (per unit)</t>
        </is>
      </c>
      <c r="L40" s="21" t="inlineStr">
        <is>
          <t>@10</t>
        </is>
      </c>
      <c r="M40" s="21" t="inlineStr">
        <is>
          <t>@100</t>
        </is>
      </c>
      <c r="N40" s="21" t="inlineStr">
        <is>
          <t>@1,000</t>
        </is>
      </c>
    </row>
    <row r="41">
      <c r="C41" s="27" t="inlineStr">
        <is>
          <t>E-paper version, 150 mAh ('Cost by batch' total)</t>
        </is>
      </c>
      <c r="L41" s="30">
        <f>'Cost by batch'!L23</f>
        <v/>
      </c>
      <c r="M41" s="30">
        <f>'Cost by batch'!M23</f>
        <v/>
      </c>
      <c r="N41" s="30">
        <f>'Cost by batch'!N23</f>
        <v/>
      </c>
    </row>
    <row r="42">
      <c r="C42" s="31" t="inlineStr">
        <is>
          <t>LCD version, 150 mAh (this sheet's total)</t>
        </is>
      </c>
      <c r="L42" s="32">
        <f>L23</f>
        <v/>
      </c>
      <c r="M42" s="32">
        <f>M23</f>
        <v/>
      </c>
      <c r="N42" s="32">
        <f>N23</f>
        <v/>
      </c>
    </row>
    <row r="43">
      <c r="C43" s="27" t="inlineStr">
        <is>
          <t>Difference LCD − e-paper</t>
        </is>
      </c>
      <c r="L43" s="30">
        <f>L42-L41</f>
        <v/>
      </c>
      <c r="M43" s="30">
        <f>M42-M41</f>
        <v/>
      </c>
      <c r="N43" s="30">
        <f>N42-N41</f>
        <v/>
      </c>
    </row>
    <row r="44">
      <c r="C44" s="27" t="inlineStr">
        <is>
          <t>1,200-1,500 mAh cell (@10 Adafruit #258 1,200 mAh; @100+ Alibaba 504060 ~1,500 mAh)</t>
        </is>
      </c>
      <c r="L44" s="28" t="n">
        <v>9.949999999999999</v>
      </c>
      <c r="M44" s="28" t="n">
        <v>4</v>
      </c>
      <c r="N44" s="28" t="n">
        <v>3</v>
      </c>
      <c r="R44" s="2" t="inlineStr">
        <is>
          <t>Adafruit #258 $9.95 (enclosure/final_assembly/battery_upgrade.md); Alibaba 504060 ~$3-5 at MOQ (estimate). Needs UN38.3 in the seller's name.</t>
        </is>
      </c>
    </row>
    <row r="45">
      <c r="C45" s="27" t="inlineStr">
        <is>
          <t>Its dangerous-goods freight surcharge</t>
        </is>
      </c>
      <c r="L45" s="28" t="n">
        <v>0</v>
      </c>
      <c r="M45" s="28" t="n">
        <v>1.2</v>
      </c>
      <c r="N45" s="28" t="n">
        <v>0.5</v>
      </c>
      <c r="R45" s="2" t="inlineStr">
        <is>
          <t>Estimate (~5.5 Wh, heavier cell).</t>
        </is>
      </c>
    </row>
    <row r="46">
      <c r="C46" s="27" t="inlineStr">
        <is>
          <t>Longer JST-PH lead / extension (~150 mm)</t>
        </is>
      </c>
      <c r="L46" s="28" t="n">
        <v>0.5</v>
      </c>
      <c r="M46" s="28" t="n">
        <v>0.25</v>
      </c>
      <c r="N46" s="28" t="n">
        <v>0.15</v>
      </c>
      <c r="R46" s="2" t="inlineStr">
        <is>
          <t>Estimate. Board: R2 20 k → 4.7 k for a ~3 h charge (no cost change).</t>
        </is>
      </c>
    </row>
    <row r="47">
      <c r="C47" s="27" t="inlineStr">
        <is>
          <t>Battery change per unit incl. overage %</t>
        </is>
      </c>
      <c r="L47" s="30">
        <f>(L44+L45+L46-I9-I10)*(1+I19)</f>
        <v/>
      </c>
      <c r="M47" s="30">
        <f>(M44+M45+M46-J9-J10)*(1+J19)</f>
        <v/>
      </c>
      <c r="N47" s="30">
        <f>(N44+N45+N46-K9-K10)*(1+K19)</f>
        <v/>
      </c>
      <c r="R47" s="2" t="inlineStr">
        <is>
          <t>(big cell + its DG + lead − 150 mAh cell − its DG) × (1 + overage %).</t>
        </is>
      </c>
    </row>
    <row r="48">
      <c r="C48" s="27" t="inlineStr">
        <is>
          <t>E-paper version, 1,200-1,500 mAh</t>
        </is>
      </c>
      <c r="L48" s="30">
        <f>L41+L47</f>
        <v/>
      </c>
      <c r="M48" s="30">
        <f>M41+M47</f>
        <v/>
      </c>
      <c r="N48" s="30">
        <f>N41+N47</f>
        <v/>
      </c>
    </row>
    <row r="49">
      <c r="C49" s="31" t="inlineStr">
        <is>
          <t>LCD version, 1,200-1,500 mAh (long-term target, custom or roomy knockoff shell)</t>
        </is>
      </c>
      <c r="L49" s="32">
        <f>L42+L47</f>
        <v/>
      </c>
      <c r="M49" s="32">
        <f>M42+M47</f>
        <v/>
      </c>
      <c r="N49" s="32">
        <f>N42+N47</f>
        <v/>
      </c>
      <c r="R49" s="2" t="inlineStr">
        <is>
          <t>Fits the custom drop-in shell pocket (70 × 41 × 5.4 mm). In a knockoff only if K-D7/K-S5 show room (KNOCKOFF_SHELL_PLAN.md).</t>
        </is>
      </c>
    </row>
  </sheetData>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9"/>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5" customWidth="1" min="2" max="2"/>
    <col width="16" customWidth="1" min="3" max="3"/>
    <col width="26" customWidth="1" min="4" max="4"/>
    <col width="38" customWidth="1" min="5" max="5"/>
    <col width="12" customWidth="1" min="6" max="6"/>
    <col width="14" customWidth="1" min="7" max="7"/>
    <col width="30" customWidth="1" min="8" max="8"/>
    <col width="20" customWidth="1" min="9" max="9"/>
    <col width="22" customWidth="1" min="10" max="10"/>
    <col width="70" customWidth="1" min="11" max="11"/>
    <col width="14" customWidth="1" min="12" max="12"/>
  </cols>
  <sheetData>
    <row r="1">
      <c r="A1" s="1" t="inlineStr">
        <is>
          <t>Supplier options per component (2-3+ listings each)</t>
        </is>
      </c>
    </row>
    <row r="2" ht="30" customHeight="1">
      <c r="A2" s="2" t="inlineStr">
        <is>
          <t>As of 2026-10-05. Price/MOQ text is what search indexes showed for each listing; Alibaba prices change daily and many listings hide the supplier name until you log in. 'Supplier' = company where shown, else '(see listing)'. Lead times are typical for the category (estimate) unless noted.</t>
        </is>
      </c>
    </row>
    <row r="3">
      <c r="A3" s="6" t="inlineStr">
        <is>
          <t>Component</t>
        </is>
      </c>
      <c r="B3" s="6" t="inlineStr">
        <is>
          <t>Opt</t>
        </is>
      </c>
      <c r="C3" s="6" t="inlineStr">
        <is>
          <t>Platform</t>
        </is>
      </c>
      <c r="D3" s="6" t="inlineStr">
        <is>
          <t>Supplier</t>
        </is>
      </c>
      <c r="E3" s="6" t="inlineStr">
        <is>
          <t>Listing</t>
        </is>
      </c>
      <c r="F3" s="6" t="inlineStr">
        <is>
          <t>Link</t>
        </is>
      </c>
      <c r="G3" s="6" t="inlineStr">
        <is>
          <t>MOQ</t>
        </is>
      </c>
      <c r="H3" s="6" t="inlineStr">
        <is>
          <t>Price tiers seen</t>
        </is>
      </c>
      <c r="I3" s="6" t="inlineStr">
        <is>
          <t>Lead time</t>
        </is>
      </c>
      <c r="J3" s="6" t="inlineStr">
        <is>
          <t>Shipping notes</t>
        </is>
      </c>
      <c r="K3" s="6" t="inlineStr">
        <is>
          <t>Spec checks to ask the supplier</t>
        </is>
      </c>
      <c r="L3" s="6" t="inlineStr">
        <is>
          <t>Use for batch</t>
        </is>
      </c>
    </row>
    <row r="4">
      <c r="A4" s="7" t="inlineStr">
        <is>
          <t>Shell (knockoff)</t>
        </is>
      </c>
      <c r="B4" s="7" t="n">
        <v>1</v>
      </c>
      <c r="C4" s="7" t="inlineStr">
        <is>
          <t>Alibaba</t>
        </is>
      </c>
      <c r="D4" s="7" t="inlineStr">
        <is>
          <t>(see listing)</t>
        </is>
      </c>
      <c r="E4" s="7" t="inlineStr">
        <is>
          <t>Multifunctional Function Calculator 991ES PLUS Scientific</t>
        </is>
      </c>
      <c r="F4" s="8" t="inlineStr">
        <is>
          <t>open listing</t>
        </is>
      </c>
      <c r="G4" s="7" t="inlineStr">
        <is>
          <t>Ask (often 20-100)</t>
        </is>
      </c>
      <c r="H4" s="7" t="inlineStr">
        <is>
          <t>Ask; category $3.25-3.99 @MOQ 20 seen [S1]</t>
        </is>
      </c>
      <c r="I4" s="7" t="inlineStr">
        <is>
          <t>7-15 days stock; 25-35 days custom</t>
        </is>
      </c>
      <c r="J4" s="7" t="inlineStr">
        <is>
          <t>Express ~5-10 days; ~120 g each</t>
        </is>
      </c>
      <c r="K4" s="7" t="inlineStr">
        <is>
          <t>Same model + same mould every batch (ask mould/model no.); photos of the INSIDE (PCB removed) and of the key-mat contact side; fx-991ES/115ES key grid (5x? rows, same pitch); screw-post positions with a ruler in shot; board removable without breaking the key mat; no Casio logo/name printed; send 2 samples first.</t>
        </is>
      </c>
      <c r="L4" s="7" t="inlineStr">
        <is>
          <t>100 / 1,000</t>
        </is>
      </c>
    </row>
    <row r="5">
      <c r="A5" s="7" t="inlineStr">
        <is>
          <t>Shell (knockoff)</t>
        </is>
      </c>
      <c r="B5" s="7" t="n">
        <v>2</v>
      </c>
      <c r="C5" s="7" t="inlineStr">
        <is>
          <t>Alibaba</t>
        </is>
      </c>
      <c r="D5" s="7" t="inlineStr">
        <is>
          <t>(see listing)</t>
        </is>
      </c>
      <c r="E5" s="7" t="inlineStr">
        <is>
          <t>OS-991ES Plus Digital Scientific Calculator, 2-line, 417 functions</t>
        </is>
      </c>
      <c r="F5" s="8" t="inlineStr">
        <is>
          <t>open listing</t>
        </is>
      </c>
      <c r="G5" s="7" t="inlineStr">
        <is>
          <t>Ask</t>
        </is>
      </c>
      <c r="H5" s="7" t="inlineStr">
        <is>
          <t>Ask</t>
        </is>
      </c>
      <c r="I5" s="7" t="inlineStr">
        <is>
          <t>7-15 days</t>
        </is>
      </c>
      <c r="J5" s="7" t="inlineStr">
        <is>
          <t>Express or sea for 1,000</t>
        </is>
      </c>
      <c r="K5" s="7" t="inlineStr">
        <is>
          <t>Same model + same mould every batch (ask mould/model no.); photos of the INSIDE (PCB removed) and of the key-mat contact side; fx-991ES/115ES key grid (5x? rows, same pitch); screw-post positions with a ruler in shot; board removable without breaking the key mat; no Casio logo/name printed; send 2 samples first.</t>
        </is>
      </c>
      <c r="L5" s="7" t="inlineStr">
        <is>
          <t>100 / 1,000</t>
        </is>
      </c>
    </row>
    <row r="6">
      <c r="A6" s="7" t="inlineStr">
        <is>
          <t>Shell (knockoff)</t>
        </is>
      </c>
      <c r="B6" s="7" t="n">
        <v>3</v>
      </c>
      <c r="C6" s="7" t="inlineStr">
        <is>
          <t>Alibaba</t>
        </is>
      </c>
      <c r="D6" s="7" t="inlineStr">
        <is>
          <t>(see listing)</t>
        </is>
      </c>
      <c r="E6" s="7" t="inlineStr">
        <is>
          <t>Wholesale Price Scientific Calculator 991 ES Plus, 417 functions</t>
        </is>
      </c>
      <c r="F6" s="8" t="inlineStr">
        <is>
          <t>open listing</t>
        </is>
      </c>
      <c r="G6" s="7" t="inlineStr">
        <is>
          <t>Ask</t>
        </is>
      </c>
      <c r="H6" s="7" t="inlineStr">
        <is>
          <t>Ask</t>
        </is>
      </c>
      <c r="I6" s="7" t="inlineStr">
        <is>
          <t>7-15 days</t>
        </is>
      </c>
      <c r="J6" s="7" t="inlineStr">
        <is>
          <t>-</t>
        </is>
      </c>
      <c r="K6" s="7" t="inlineStr">
        <is>
          <t>Same model + same mould every batch (ask mould/model no.); photos of the INSIDE (PCB removed) and of the key-mat contact side; fx-991ES/115ES key grid (5x? rows, same pitch); screw-post positions with a ruler in shot; board removable without breaking the key mat; no Casio logo/name printed; send 2 samples first.</t>
        </is>
      </c>
      <c r="L6" s="7" t="inlineStr">
        <is>
          <t>100 / 1,000</t>
        </is>
      </c>
    </row>
    <row r="7">
      <c r="A7" s="7" t="inlineStr">
        <is>
          <t>Shell (knockoff)</t>
        </is>
      </c>
      <c r="B7" s="7" t="n">
        <v>4</v>
      </c>
      <c r="C7" s="7" t="inlineStr">
        <is>
          <t>Alibaba (factories)</t>
        </is>
      </c>
      <c r="D7" s="7" t="inlineStr">
        <is>
          <t>Shantou Eates Electronic; Guangzhou Cania Technology; Truly Instrument (SC-991ES+)</t>
        </is>
      </c>
      <c r="E7" s="7" t="inlineStr">
        <is>
          <t>Supplier directory: FX-991-style calculator wholesalers</t>
        </is>
      </c>
      <c r="F7" s="8" t="inlineStr">
        <is>
          <t>open listing</t>
        </is>
      </c>
      <c r="G7" s="7" t="inlineStr">
        <is>
          <t>50-3,000</t>
        </is>
      </c>
      <c r="H7" s="7" t="inlineStr">
        <is>
          <t>$1.50-3.50 @3,000; $2.35-4.46 @2; Truly $5-12 @200 [S2]</t>
        </is>
      </c>
      <c r="I7" s="7" t="inlineStr">
        <is>
          <t>15-30 days</t>
        </is>
      </c>
      <c r="J7" s="7" t="inlineStr">
        <is>
          <t>Sea for 1,000+</t>
        </is>
      </c>
      <c r="K7" s="7" t="inlineStr">
        <is>
          <t>Same model + same mould every batch (ask mould/model no.); photos of the INSIDE (PCB removed) and of the key-mat contact side; fx-991ES/115ES key grid (5x? rows, same pitch); screw-post positions with a ruler in shot; board removable without breaking the key mat; no Casio logo/name printed; send 2 samples first. Prefer a factory with ITS OWN design (no Casio trade dress) for sales.</t>
        </is>
      </c>
      <c r="L7" s="7" t="inlineStr">
        <is>
          <t>1,000</t>
        </is>
      </c>
    </row>
    <row r="8">
      <c r="A8" s="7" t="inlineStr">
        <is>
          <t>Shell (knockoff)</t>
        </is>
      </c>
      <c r="B8" s="7" t="n">
        <v>5</v>
      </c>
      <c r="C8" s="7" t="inlineStr">
        <is>
          <t>AliExpress / Amazon</t>
        </is>
      </c>
      <c r="D8" s="7" t="inlineStr">
        <is>
          <t>Runzon RZ-991ES PLUS and generic '991ES PLUS 240 functions' clones</t>
        </is>
      </c>
      <c r="E8" s="7" t="inlineStr">
        <is>
          <t>AliExpress search: 991ES PLUS calculator</t>
        </is>
      </c>
      <c r="F8" s="8" t="inlineStr">
        <is>
          <t>open listing</t>
        </is>
      </c>
      <c r="G8" s="7" t="inlineStr">
        <is>
          <t>1</t>
        </is>
      </c>
      <c r="H8" s="7" t="inlineStr">
        <is>
          <t>~$5-8 incl. shipping (estimate)</t>
        </is>
      </c>
      <c r="I8" s="7" t="inlineStr">
        <is>
          <t>AliExpress 7-15 days; Amazon 1-2 days</t>
        </is>
      </c>
      <c r="J8" s="7" t="inlineStr">
        <is>
          <t>Buy 2 from 2 sellers to compare moulds</t>
        </is>
      </c>
      <c r="K8" s="7" t="inlineStr">
        <is>
          <t>Same model + same mould every batch (ask mould/model no.); photos of the INSIDE (PCB removed) and of the key-mat contact side; fx-991ES/115ES key grid (5x? rows, same pitch); screw-post positions with a ruler in shot; board removable without breaking the key mat; no Casio logo/name printed; send 2 samples first.</t>
        </is>
      </c>
      <c r="L8" s="7" t="inlineStr">
        <is>
          <t>10 (and samples)</t>
        </is>
      </c>
    </row>
    <row r="9">
      <c r="A9" s="7" t="inlineStr">
        <is>
          <t>Shell (knockoff)</t>
        </is>
      </c>
      <c r="B9" s="7" t="n">
        <v>6</v>
      </c>
      <c r="C9" s="7" t="inlineStr">
        <is>
          <t>Made-in-China</t>
        </is>
      </c>
      <c r="D9" s="7" t="inlineStr">
        <is>
          <t>(various)</t>
        </is>
      </c>
      <c r="E9" s="7" t="inlineStr">
        <is>
          <t>991ES wholesale search (alternative marketplace)</t>
        </is>
      </c>
      <c r="F9" s="8" t="inlineStr">
        <is>
          <t>open listing</t>
        </is>
      </c>
      <c r="G9" s="7" t="inlineStr">
        <is>
          <t>Varies</t>
        </is>
      </c>
      <c r="H9" s="7" t="inlineStr">
        <is>
          <t>Varies</t>
        </is>
      </c>
      <c r="I9" s="7" t="inlineStr">
        <is>
          <t>15-30 days</t>
        </is>
      </c>
      <c r="J9" s="7" t="inlineStr">
        <is>
          <t>-</t>
        </is>
      </c>
      <c r="K9" s="7" t="inlineStr">
        <is>
          <t>Same model + same mould every batch (ask mould/model no.); photos of the INSIDE (PCB removed) and of the key-mat contact side; fx-991ES/115ES key grid (5x? rows, same pitch); screw-post positions with a ruler in shot; board removable without breaking the key mat; no Casio logo/name printed; send 2 samples first.</t>
        </is>
      </c>
      <c r="L9" s="7" t="inlineStr">
        <is>
          <t>backup</t>
        </is>
      </c>
    </row>
    <row r="10">
      <c r="A10" s="7" t="inlineStr">
        <is>
          <t>Camera OV5640 AF</t>
        </is>
      </c>
      <c r="B10" s="7" t="n">
        <v>1</v>
      </c>
      <c r="C10" s="7" t="inlineStr">
        <is>
          <t>Alibaba</t>
        </is>
      </c>
      <c r="D10" s="7" t="inlineStr">
        <is>
          <t>Shenzhen V-Vision Technology Co., Ltd.</t>
        </is>
      </c>
      <c r="E10" s="7" t="inlineStr">
        <is>
          <t>Auto Focus OV5640 OEM 24pin/30pin MIPI/DVP module (v-vision5640-AF)</t>
        </is>
      </c>
      <c r="F10" s="8" t="inlineStr">
        <is>
          <t>open listing</t>
        </is>
      </c>
      <c r="G10" s="7" t="inlineStr">
        <is>
          <t>Ask (OEM; typ. 1-100)</t>
        </is>
      </c>
      <c r="H10" s="7" t="inlineStr">
        <is>
          <t>Category $5-18 [S3]</t>
        </is>
      </c>
      <c r="I10" s="7" t="inlineStr">
        <is>
          <t>Stock 3-7 days; custom FPC 2-4 weeks</t>
        </is>
      </c>
      <c r="J10" s="7" t="inlineStr">
        <is>
          <t>Antistatic packing; express</t>
        </is>
      </c>
      <c r="K10" s="7" t="inlineStr">
        <is>
          <t>Pinout drawing of the 24-pin FPC vs the Seeed XIAO-Sense OV5640 (pins 2 and 15 = GND on our J1); FPC length and which side the contacts face; AF motor type + driver (VCM); DOVDD 1.8/2.8 V; lens FOV ~66-70°; heat-sink or not; same module revision for repeat orders. V-Vision does custom FPC length: request the XIAO-Sense pinout.</t>
        </is>
      </c>
      <c r="L10" s="7" t="inlineStr">
        <is>
          <t>100 / 1,000</t>
        </is>
      </c>
    </row>
    <row r="11">
      <c r="A11" s="7" t="inlineStr">
        <is>
          <t>Camera OV5640 AF</t>
        </is>
      </c>
      <c r="B11" s="7" t="n">
        <v>2</v>
      </c>
      <c r="C11" s="7" t="inlineStr">
        <is>
          <t>Alibaba</t>
        </is>
      </c>
      <c r="D11" s="7" t="inlineStr">
        <is>
          <t>(see listing)</t>
        </is>
      </c>
      <c r="E11" s="7" t="inlineStr">
        <is>
          <t>CMOS Sensor 24pin OV5640 DVP module, AF or FF</t>
        </is>
      </c>
      <c r="F11" s="8" t="inlineStr">
        <is>
          <t>open listing</t>
        </is>
      </c>
      <c r="G11" s="7" t="inlineStr">
        <is>
          <t>Ask</t>
        </is>
      </c>
      <c r="H11" s="7" t="inlineStr">
        <is>
          <t>Ask</t>
        </is>
      </c>
      <c r="I11" s="7" t="inlineStr">
        <is>
          <t>Ask</t>
        </is>
      </c>
      <c r="J11" s="7" t="inlineStr">
        <is>
          <t>-</t>
        </is>
      </c>
      <c r="K11" s="7" t="inlineStr">
        <is>
          <t>Pinout drawing of the 24-pin FPC vs the Seeed XIAO-Sense OV5640 (pins 2 and 15 = GND on our J1); FPC length and which side the contacts face; AF motor type + driver (VCM); DOVDD 1.8/2.8 V; lens FOV ~66-70°; heat-sink or not; same module revision for repeat orders.</t>
        </is>
      </c>
      <c r="L11" s="7" t="inlineStr">
        <is>
          <t>100 / 1,000</t>
        </is>
      </c>
    </row>
    <row r="12">
      <c r="A12" s="7" t="inlineStr">
        <is>
          <t>Camera OV5640 AF</t>
        </is>
      </c>
      <c r="B12" s="7" t="n">
        <v>3</v>
      </c>
      <c r="C12" s="7" t="inlineStr">
        <is>
          <t>AliExpress</t>
        </is>
      </c>
      <c r="D12" s="7" t="inlineStr">
        <is>
          <t>(see listing)</t>
        </is>
      </c>
      <c r="E12" s="7" t="inlineStr">
        <is>
          <t>OV5640 5MP Auto Focus Camera Module for ESP32-CAM, 24PIN 0.5 mm</t>
        </is>
      </c>
      <c r="F12" s="8" t="inlineStr">
        <is>
          <t>open listing</t>
        </is>
      </c>
      <c r="G12" s="7" t="inlineStr">
        <is>
          <t>1</t>
        </is>
      </c>
      <c r="H12" s="7" t="inlineStr">
        <is>
          <t>~$8-10 (GBP 7.49 / EUR 8.65 similar) [S4]</t>
        </is>
      </c>
      <c r="I12" s="7" t="inlineStr">
        <is>
          <t>7-15 days</t>
        </is>
      </c>
      <c r="J12" s="7" t="inlineStr">
        <is>
          <t>Choice/standard shipping</t>
        </is>
      </c>
      <c r="K12" s="7" t="inlineStr">
        <is>
          <t>Pinout drawing of the 24-pin FPC vs the Seeed XIAO-Sense OV5640 (pins 2 and 15 = GND on our J1); FPC length and which side the contacts face; AF motor type + driver (VCM); DOVDD 1.8/2.8 V; lens FOV ~66-70°; heat-sink or not; same module revision for repeat orders.</t>
        </is>
      </c>
      <c r="L12" s="7" t="inlineStr">
        <is>
          <t>samples / 10</t>
        </is>
      </c>
    </row>
    <row r="13">
      <c r="A13" s="7" t="inlineStr">
        <is>
          <t>Camera OV5640 AF</t>
        </is>
      </c>
      <c r="B13" s="7" t="n">
        <v>4</v>
      </c>
      <c r="C13" s="7" t="inlineStr">
        <is>
          <t>Seeed / distributors</t>
        </is>
      </c>
      <c r="D13" s="7" t="inlineStr">
        <is>
          <t>Seeed Studio (SKU 114993115)</t>
        </is>
      </c>
      <c r="E13" s="7" t="inlineStr">
        <is>
          <t>OV5640 Camera for XIAO ESP32S3 Sense (reference pinout)</t>
        </is>
      </c>
      <c r="F13" s="8" t="inlineStr">
        <is>
          <t>open listing</t>
        </is>
      </c>
      <c r="G13" s="7" t="inlineStr">
        <is>
          <t>1</t>
        </is>
      </c>
      <c r="H13" s="7" t="inlineStr">
        <is>
          <t>~$14 (roadmap) [S8]</t>
        </is>
      </c>
      <c r="I13" s="7" t="inlineStr">
        <is>
          <t>Distributor stock</t>
        </is>
      </c>
      <c r="J13" s="7" t="inlineStr">
        <is>
          <t>-</t>
        </is>
      </c>
      <c r="K13" s="7" t="inlineStr">
        <is>
          <t>Known-good pinout: use as the golden sample to compare others.</t>
        </is>
      </c>
      <c r="L13" s="7" t="inlineStr">
        <is>
          <t>10</t>
        </is>
      </c>
    </row>
    <row r="14">
      <c r="A14" s="7" t="inlineStr">
        <is>
          <t>E-paper 2.13"</t>
        </is>
      </c>
      <c r="B14" s="7" t="n">
        <v>1</v>
      </c>
      <c r="C14" s="7" t="inlineStr">
        <is>
          <t>Alibaba</t>
        </is>
      </c>
      <c r="D14" s="7" t="inlineStr">
        <is>
          <t>Dalian Good Display Co., Ltd. (16+ yrs on Alibaba)</t>
        </is>
      </c>
      <c r="E14" s="7" t="inlineStr">
        <is>
          <t>Cheap e-paper 2.13" 250x122 GDEY0213B74</t>
        </is>
      </c>
      <c r="F14" s="8" t="inlineStr">
        <is>
          <t>open listing</t>
        </is>
      </c>
      <c r="G14" s="7" t="inlineStr">
        <is>
          <t>1 (samples)</t>
        </is>
      </c>
      <c r="H14" s="7" t="inlineStr">
        <is>
          <t>Ask; retail ~EUR 6.89 [S5]</t>
        </is>
      </c>
      <c r="I14" s="7" t="inlineStr">
        <is>
          <t>Stock 3-7 days</t>
        </is>
      </c>
      <c r="J14" s="7" t="inlineStr">
        <is>
          <t>Ships from Dalian; trays</t>
        </is>
      </c>
      <c r="K14" s="7" t="inlineStr">
        <is>
          <t>Exact part: GDEY0213B74 (or Waveshare 2.13 V4) with SSD1680Z8; 24-pin 0.5 mm FPC, same pin order as the V4; outline 59.2 x 29.2 x 1.0 mm; bare panel (no driver PCB); datasheet + LUT/init code version; tray packaging.</t>
        </is>
      </c>
      <c r="L14" s="7" t="inlineStr">
        <is>
          <t>100 / 1,000</t>
        </is>
      </c>
    </row>
    <row r="15">
      <c r="A15" s="7" t="inlineStr">
        <is>
          <t>E-paper 2.13"</t>
        </is>
      </c>
      <c r="B15" s="7" t="n">
        <v>2</v>
      </c>
      <c r="C15" s="7" t="inlineStr">
        <is>
          <t>Good Display direct</t>
        </is>
      </c>
      <c r="D15" s="7" t="inlineStr">
        <is>
          <t>Dalian Good Display (buyepaper@good-display.com)</t>
        </is>
      </c>
      <c r="E15" s="7" t="inlineStr">
        <is>
          <t>GDEY0213B74 product page / RFQ</t>
        </is>
      </c>
      <c r="F15" s="8" t="inlineStr">
        <is>
          <t>open listing</t>
        </is>
      </c>
      <c r="G15" s="7" t="inlineStr">
        <is>
          <t>Ask</t>
        </is>
      </c>
      <c r="H15" s="7" t="inlineStr">
        <is>
          <t>RFQ for 100 / 1,000</t>
        </is>
      </c>
      <c r="I15" s="7" t="inlineStr">
        <is>
          <t>1-3 weeks</t>
        </is>
      </c>
      <c r="J15" s="7" t="inlineStr">
        <is>
          <t>DHL/FedEx</t>
        </is>
      </c>
      <c r="K15" s="7" t="inlineStr">
        <is>
          <t>Exact part: GDEY0213B74 (or Waveshare 2.13 V4) with SSD1680Z8; 24-pin 0.5 mm FPC, same pin order as the V4; outline 59.2 x 29.2 x 1.0 mm; bare panel (no driver PCB); datasheet + LUT/init code version; tray packaging.</t>
        </is>
      </c>
      <c r="L15" s="7" t="inlineStr">
        <is>
          <t>100 / 1,000</t>
        </is>
      </c>
    </row>
    <row r="16">
      <c r="A16" s="7" t="inlineStr">
        <is>
          <t>E-paper 2.13"</t>
        </is>
      </c>
      <c r="B16" s="7" t="n">
        <v>3</v>
      </c>
      <c r="C16" s="7" t="inlineStr">
        <is>
          <t>Waveshare</t>
        </is>
      </c>
      <c r="D16" s="7" t="inlineStr">
        <is>
          <t>Waveshare Electronics</t>
        </is>
      </c>
      <c r="E16" s="7" t="inlineStr">
        <is>
          <t>2.13inch e-Paper raw panel (V4)</t>
        </is>
      </c>
      <c r="F16" s="8" t="inlineStr">
        <is>
          <t>open listing</t>
        </is>
      </c>
      <c r="G16" s="7" t="inlineStr">
        <is>
          <t>1</t>
        </is>
      </c>
      <c r="H16" s="7" t="inlineStr">
        <is>
          <t>$6.31-6.99 [S8]</t>
        </is>
      </c>
      <c r="I16" s="7" t="inlineStr">
        <is>
          <t>3-10 days</t>
        </is>
      </c>
      <c r="J16" s="7" t="inlineStr">
        <is>
          <t>Waveshare direct may take a week+</t>
        </is>
      </c>
      <c r="K16" s="7" t="inlineStr">
        <is>
          <t>Exact part: GDEY0213B74 (or Waveshare 2.13 V4) with SSD1680Z8; 24-pin 0.5 mm FPC, same pin order as the V4; outline 59.2 x 29.2 x 1.0 mm; bare panel (no driver PCB); datasheet + LUT/init code version; tray packaging.</t>
        </is>
      </c>
      <c r="L16" s="7" t="inlineStr">
        <is>
          <t>10</t>
        </is>
      </c>
    </row>
    <row r="17">
      <c r="A17" s="7" t="inlineStr">
        <is>
          <t>E-paper 2.13"</t>
        </is>
      </c>
      <c r="B17" s="7" t="n">
        <v>4</v>
      </c>
      <c r="C17" s="7" t="inlineStr">
        <is>
          <t>Alibaba store</t>
        </is>
      </c>
      <c r="D17" s="7" t="inlineStr">
        <is>
          <t>Dalian Good Display storefront</t>
        </is>
      </c>
      <c r="E17" s="7" t="inlineStr">
        <is>
          <t>Good Display e-paper product group</t>
        </is>
      </c>
      <c r="F17" s="8" t="inlineStr">
        <is>
          <t>open listing</t>
        </is>
      </c>
      <c r="G17" s="7" t="inlineStr">
        <is>
          <t>-</t>
        </is>
      </c>
      <c r="H17" s="7" t="inlineStr">
        <is>
          <t>-</t>
        </is>
      </c>
      <c r="I17" s="7" t="inlineStr">
        <is>
          <t>-</t>
        </is>
      </c>
      <c r="J17" s="7" t="inlineStr">
        <is>
          <t>-</t>
        </is>
      </c>
      <c r="K17" s="7" t="inlineStr">
        <is>
          <t>Use for Trade Assurance orders with the same factory.</t>
        </is>
      </c>
      <c r="L17" s="7" t="inlineStr">
        <is>
          <t>100 / 1,000</t>
        </is>
      </c>
    </row>
    <row r="18">
      <c r="A18" s="7" t="inlineStr">
        <is>
          <t>LiPo ~150 mAh</t>
        </is>
      </c>
      <c r="B18" s="7" t="n">
        <v>1</v>
      </c>
      <c r="C18" s="7" t="inlineStr">
        <is>
          <t>Alibaba</t>
        </is>
      </c>
      <c r="D18" s="7" t="inlineStr">
        <is>
          <t>(see listing)</t>
        </is>
      </c>
      <c r="E18" s="7" t="inlineStr">
        <is>
          <t>Rechargeable LiPo 401230 3.7 V 100 mAh</t>
        </is>
      </c>
      <c r="F18" s="8" t="inlineStr">
        <is>
          <t>open listing</t>
        </is>
      </c>
      <c r="G18" s="7" t="inlineStr">
        <is>
          <t>Ask (stock cells often 100+)</t>
        </is>
      </c>
      <c r="H18" s="7" t="inlineStr">
        <is>
          <t>Category $0.56-1.60 [S6]</t>
        </is>
      </c>
      <c r="I18" s="7" t="inlineStr">
        <is>
          <t>Stock 7 days; custom 15-25 days</t>
        </is>
      </c>
      <c r="J18" s="7" t="inlineStr">
        <is>
          <t>DG (UN3481); not all express lanes accept</t>
        </is>
      </c>
      <c r="K18" s="7" t="inlineStr">
        <is>
          <t>Max 33.5 x 20.7 x 3.8 mm INCLUDING the PCM fold (target the Adafruit #1317 size, 26 x 19.75 x 3.8, ~150 mAh; 401230 is too big); protection circuit (OVP/UVP/OCP/short); UN38.3 test summary + MSDS/SDS + IEC 62133 (CB) report in the SELLER's name for THIS model; JST-PH 2.0 plug with red = + matching Adafruit #1317 (photo of the plug with wires); lead length; ship at ~40-60 % charge as UN3481.</t>
        </is>
      </c>
      <c r="L18" s="7" t="inlineStr">
        <is>
          <t>100</t>
        </is>
      </c>
    </row>
    <row r="19">
      <c r="A19" s="7" t="inlineStr">
        <is>
          <t>LiPo ~150 mAh</t>
        </is>
      </c>
      <c r="B19" s="7" t="n">
        <v>2</v>
      </c>
      <c r="C19" s="7" t="inlineStr">
        <is>
          <t>Alibaba</t>
        </is>
      </c>
      <c r="D19" s="7" t="inlineStr">
        <is>
          <t>(see listing)</t>
        </is>
      </c>
      <c r="E19" s="7" t="inlineStr">
        <is>
          <t>0.37 Wh LiPo 401230 3.7 V 100 mAh (500 cycles, 12-month warranty)</t>
        </is>
      </c>
      <c r="F19" s="8" t="inlineStr">
        <is>
          <t>open listing</t>
        </is>
      </c>
      <c r="G19" s="7" t="inlineStr">
        <is>
          <t>Ask</t>
        </is>
      </c>
      <c r="H19" s="7" t="inlineStr">
        <is>
          <t>Category $0.56-1.60 [S6]</t>
        </is>
      </c>
      <c r="I19" s="7" t="inlineStr">
        <is>
          <t>15-25 days</t>
        </is>
      </c>
      <c r="J19" s="7" t="inlineStr">
        <is>
          <t>DG</t>
        </is>
      </c>
      <c r="K19" s="7" t="inlineStr">
        <is>
          <t>Max 33.5 x 20.7 x 3.8 mm INCLUDING the PCM fold (target the Adafruit #1317 size, 26 x 19.75 x 3.8, ~150 mAh; 401230 is too big); protection circuit (OVP/UVP/OCP/short); UN38.3 test summary + MSDS/SDS + IEC 62133 (CB) report in the SELLER's name for THIS model; JST-PH 2.0 plug with red = + matching Adafruit #1317 (photo of the plug with wires); lead length; ship at ~40-60 % charge as UN3481.</t>
        </is>
      </c>
      <c r="L19" s="7" t="inlineStr">
        <is>
          <t>100 / 1,000</t>
        </is>
      </c>
    </row>
    <row r="20">
      <c r="A20" s="7" t="inlineStr">
        <is>
          <t>LiPo ~150 mAh</t>
        </is>
      </c>
      <c r="B20" s="7" t="n">
        <v>3</v>
      </c>
      <c r="C20" s="7" t="inlineStr">
        <is>
          <t>Alibaba</t>
        </is>
      </c>
      <c r="D20" s="7" t="inlineStr">
        <is>
          <t>(see listing)</t>
        </is>
      </c>
      <c r="E20" s="7" t="inlineStr">
        <is>
          <t>Slim LiPo 100-200 mAh factory sizes (ask for ~26 x 20 x 3.8, 150 mAh)</t>
        </is>
      </c>
      <c r="F20" s="8" t="inlineStr">
        <is>
          <t>open listing</t>
        </is>
      </c>
      <c r="G20" s="7" t="inlineStr">
        <is>
          <t>Ask</t>
        </is>
      </c>
      <c r="H20" s="7" t="inlineStr">
        <is>
          <t>Ask</t>
        </is>
      </c>
      <c r="I20" s="7" t="inlineStr">
        <is>
          <t>15-25 days</t>
        </is>
      </c>
      <c r="J20" s="7" t="inlineStr">
        <is>
          <t>DG</t>
        </is>
      </c>
      <c r="K20" s="7" t="inlineStr">
        <is>
          <t>Max 33.5 x 20.7 x 3.8 mm INCLUDING the PCM fold (target the Adafruit #1317 size, 26 x 19.75 x 3.8, ~150 mAh; 401230 is too big); protection circuit (OVP/UVP/OCP/short); UN38.3 test summary + MSDS/SDS + IEC 62133 (CB) report in the SELLER's name for THIS model; JST-PH 2.0 plug with red = + matching Adafruit #1317 (photo of the plug with wires); lead length; ship at ~40-60 % charge as UN3481. Ask for a ~382026 / 402025 class cell with PH2.0.</t>
        </is>
      </c>
      <c r="L20" s="7" t="inlineStr">
        <is>
          <t>1,000</t>
        </is>
      </c>
    </row>
    <row r="21">
      <c r="A21" s="7" t="inlineStr">
        <is>
          <t>LiPo ~150 mAh</t>
        </is>
      </c>
      <c r="B21" s="7" t="n">
        <v>4</v>
      </c>
      <c r="C21" s="7" t="inlineStr">
        <is>
          <t>Adafruit</t>
        </is>
      </c>
      <c r="D21" s="7" t="inlineStr">
        <is>
          <t>Adafruit (#1317)</t>
        </is>
      </c>
      <c r="E21" s="7" t="inlineStr">
        <is>
          <t>LiPo 3.7 V 150 mAh, JST-PH, 26 x 19.75 x 3.8 mm (current prototype cell; replaced #1570 on 2026-10-06)</t>
        </is>
      </c>
      <c r="F21" s="8" t="inlineStr">
        <is>
          <t>open listing</t>
        </is>
      </c>
      <c r="G21" s="7" t="inlineStr">
        <is>
          <t>1</t>
        </is>
      </c>
      <c r="H21" s="7" t="inlineStr">
        <is>
          <t>$5.95 [S8]</t>
        </is>
      </c>
      <c r="I21" s="7" t="inlineStr">
        <is>
          <t>Ships NYC 2-3 days</t>
        </is>
      </c>
      <c r="J21" s="7" t="inlineStr">
        <is>
          <t>Ground OK inside US</t>
        </is>
      </c>
      <c r="K21" s="7" t="inlineStr">
        <is>
          <t>Reference polarity and size.</t>
        </is>
      </c>
      <c r="L21" s="7" t="inlineStr">
        <is>
          <t>10</t>
        </is>
      </c>
    </row>
    <row r="22">
      <c r="A22" s="7" t="inlineStr">
        <is>
          <t>LiPo ~150 mAh</t>
        </is>
      </c>
      <c r="B22" s="7" t="n">
        <v>5</v>
      </c>
      <c r="C22" s="7" t="inlineStr">
        <is>
          <t>EEMB</t>
        </is>
      </c>
      <c r="D22" s="7" t="inlineStr">
        <is>
          <t>EEMB (cert-ready cells; ask for ~150 mAh in 26 x 20 x 3.8)</t>
        </is>
      </c>
      <c r="E22" s="7" t="inlineStr">
        <is>
          <t>EEMB LiPo range (UL1642/UN38.3/IEC 62133 listed); LP401230 100 mAh is the smaller reference</t>
        </is>
      </c>
      <c r="F22" s="8" t="inlineStr">
        <is>
          <t>open listing</t>
        </is>
      </c>
      <c r="G22" s="7" t="inlineStr">
        <is>
          <t>Ask</t>
        </is>
      </c>
      <c r="H22" s="7" t="inlineStr">
        <is>
          <t>RFQ</t>
        </is>
      </c>
      <c r="I22" s="7" t="inlineStr">
        <is>
          <t>Ask</t>
        </is>
      </c>
      <c r="J22" s="7" t="inlineStr">
        <is>
          <t>DG</t>
        </is>
      </c>
      <c r="K22" s="7" t="inlineStr">
        <is>
          <t>Good fallback if Alibaba sellers can't show reports in their own name.</t>
        </is>
      </c>
      <c r="L22" s="7" t="inlineStr">
        <is>
          <t>100 / 1,000</t>
        </is>
      </c>
    </row>
    <row r="23">
      <c r="A23" s="7" t="inlineStr">
        <is>
          <t>Magnetic connector</t>
        </is>
      </c>
      <c r="B23" s="7" t="n">
        <v>1</v>
      </c>
      <c r="C23" s="7" t="inlineStr">
        <is>
          <t>Alibaba</t>
        </is>
      </c>
      <c r="D23" s="7" t="inlineStr">
        <is>
          <t>Dongguan Hanpu Electronic Technology Co., Ltd.</t>
        </is>
      </c>
      <c r="E23" s="7" t="inlineStr">
        <is>
          <t>Right-angle PCB-mount 4-pin pogo magnetic charging connector</t>
        </is>
      </c>
      <c r="F23" s="8" t="inlineStr">
        <is>
          <t>open listing</t>
        </is>
      </c>
      <c r="G23" s="7" t="inlineStr">
        <is>
          <t>Ask (typ. 100)</t>
        </is>
      </c>
      <c r="H23" s="7" t="inlineStr">
        <is>
          <t>Ask; Dongguan pogo makers $0.09-3.00, MOQ 10-3,000 [S7]</t>
        </is>
      </c>
      <c r="I23" s="7" t="inlineStr">
        <is>
          <t>Samples 3-7 days; 2-3 weeks prod.</t>
        </is>
      </c>
      <c r="J23" s="7" t="inlineStr">
        <is>
          <t>Express</t>
        </is>
      </c>
      <c r="K23" s="7" t="inlineStr">
        <is>
          <t>4 pins, ~2.54 mm pitch (2.5 mm OK only if J3 footprint is checked); board half must fit J3 (C46061768 RA SMD socket) with legs straightened like #5358, or quote a board-edge/SMT version for a v3 footprint; ask for a dimensioned drawing incl. magnet polarity; pin order on the cable N-&gt;S must read GND, D+, D-, VBUS so the board piece reads VBUS, D-, D+, GND from its N end; buy cable + connector from the SAME supplier.</t>
        </is>
      </c>
      <c r="L23" s="7" t="inlineStr">
        <is>
          <t>100 / 1,000</t>
        </is>
      </c>
    </row>
    <row r="24">
      <c r="A24" s="7" t="inlineStr">
        <is>
          <t>Magnetic connector</t>
        </is>
      </c>
      <c r="B24" s="7" t="n">
        <v>2</v>
      </c>
      <c r="C24" s="7" t="inlineStr">
        <is>
          <t>Alibaba</t>
        </is>
      </c>
      <c r="D24" s="7" t="inlineStr">
        <is>
          <t>(see listing)</t>
        </is>
      </c>
      <c r="E24" s="7" t="inlineStr">
        <is>
          <t>Horizontal 4 pogo pin magnetic connector, 2.54 mm pitch (MG04-254-RA, 2 A 12 V)</t>
        </is>
      </c>
      <c r="F24" s="8" t="inlineStr">
        <is>
          <t>open listing</t>
        </is>
      </c>
      <c r="G24" s="7" t="inlineStr">
        <is>
          <t>Multiples of 20</t>
        </is>
      </c>
      <c r="H24" s="7" t="inlineStr">
        <is>
          <t>$1.80 [S7]</t>
        </is>
      </c>
      <c r="I24" s="7" t="inlineStr">
        <is>
          <t>Stock</t>
        </is>
      </c>
      <c r="J24" s="7" t="inlineStr">
        <is>
          <t>Express</t>
        </is>
      </c>
      <c r="K24" s="7" t="inlineStr">
        <is>
          <t>4 pins, ~2.54 mm pitch (2.5 mm OK only if J3 footprint is checked); board half must fit J3 (C46061768 RA SMD socket) with legs straightened like #5358, or quote a board-edge/SMT version for a v3 footprint; ask for a dimensioned drawing incl. magnet polarity; pin order on the cable N-&gt;S must read GND, D+, D-, VBUS so the board piece reads VBUS, D-, D+, GND from its N end; buy cable + connector from the SAME supplier.</t>
        </is>
      </c>
      <c r="L24" s="7" t="inlineStr">
        <is>
          <t>100</t>
        </is>
      </c>
    </row>
    <row r="25">
      <c r="A25" s="7" t="inlineStr">
        <is>
          <t>Magnetic connector</t>
        </is>
      </c>
      <c r="B25" s="7" t="n">
        <v>3</v>
      </c>
      <c r="C25" s="7" t="inlineStr">
        <is>
          <t>Alibaba</t>
        </is>
      </c>
      <c r="D25" s="7" t="inlineStr">
        <is>
          <t>(see listing)</t>
        </is>
      </c>
      <c r="E25" s="7" t="inlineStr">
        <is>
          <t>Magnetic spring-loaded pogo 4-pin, 2.5 mm pitch, 2 A 36 V, male+female</t>
        </is>
      </c>
      <c r="F25" s="8" t="inlineStr">
        <is>
          <t>open listing</t>
        </is>
      </c>
      <c r="G25" s="7" t="inlineStr">
        <is>
          <t>Ask</t>
        </is>
      </c>
      <c r="H25" s="7" t="inlineStr">
        <is>
          <t>Pins $0.23-0.25 @MOQ 1,000 (similar listing) [S7]</t>
        </is>
      </c>
      <c r="I25" s="7" t="inlineStr">
        <is>
          <t>Ask</t>
        </is>
      </c>
      <c r="J25" s="7" t="inlineStr">
        <is>
          <t>-</t>
        </is>
      </c>
      <c r="K25" s="7" t="inlineStr">
        <is>
          <t>4 pins, ~2.54 mm pitch (2.5 mm OK only if J3 footprint is checked); board half must fit J3 (C46061768 RA SMD socket) with legs straightened like #5358, or quote a board-edge/SMT version for a v3 footprint; ask for a dimensioned drawing incl. magnet polarity; pin order on the cable N-&gt;S must read GND, D+, D-, VBUS so the board piece reads VBUS, D-, D+, GND from its N end; buy cable + connector from the SAME supplier. 2.5 mm ≠ 2.54 mm: check J3.</t>
        </is>
      </c>
      <c r="L25" s="7" t="inlineStr">
        <is>
          <t>1,000 (v3 footprint)</t>
        </is>
      </c>
    </row>
    <row r="26">
      <c r="A26" s="7" t="inlineStr">
        <is>
          <t>Magnetic connector</t>
        </is>
      </c>
      <c r="B26" s="7" t="n">
        <v>4</v>
      </c>
      <c r="C26" s="7" t="inlineStr">
        <is>
          <t>Adafruit</t>
        </is>
      </c>
      <c r="D26" s="7" t="inlineStr">
        <is>
          <t>Adafruit (#5358)</t>
        </is>
      </c>
      <c r="E26" s="7" t="inlineStr">
        <is>
          <t>DIY Magnetic Connector, right angle, 4 contacts</t>
        </is>
      </c>
      <c r="F26" s="8" t="inlineStr">
        <is>
          <t>open listing</t>
        </is>
      </c>
      <c r="G26" s="7" t="inlineStr">
        <is>
          <t>1</t>
        </is>
      </c>
      <c r="H26" s="7" t="inlineStr">
        <is>
          <t>$6.50 / $5.85 (10-99) / $5.20 (100+) [S8]</t>
        </is>
      </c>
      <c r="I26" s="7" t="inlineStr">
        <is>
          <t>2-3 days</t>
        </is>
      </c>
      <c r="J26" s="7" t="inlineStr">
        <is>
          <t>-</t>
        </is>
      </c>
      <c r="K26" s="7" t="inlineStr">
        <is>
          <t>The reference the board was designed around.</t>
        </is>
      </c>
      <c r="L26" s="7" t="inlineStr">
        <is>
          <t>10</t>
        </is>
      </c>
    </row>
    <row r="27">
      <c r="A27" s="7" t="inlineStr">
        <is>
          <t>Magnetic USB cable</t>
        </is>
      </c>
      <c r="B27" s="7" t="n">
        <v>1</v>
      </c>
      <c r="C27" s="7" t="inlineStr">
        <is>
          <t>Alibaba</t>
        </is>
      </c>
      <c r="D27" s="7" t="inlineStr">
        <is>
          <t>(see listing)</t>
        </is>
      </c>
      <c r="E27" s="7" t="inlineStr">
        <is>
          <t>4-pin magnetic connector fast-charging USB cable adapter (C3604 gold pins, ~600 g magnet)</t>
        </is>
      </c>
      <c r="F27" s="8" t="inlineStr">
        <is>
          <t>open listing</t>
        </is>
      </c>
      <c r="G27" s="7" t="inlineStr">
        <is>
          <t>Ask</t>
        </is>
      </c>
      <c r="H27" s="7" t="inlineStr">
        <is>
          <t>Ask</t>
        </is>
      </c>
      <c r="I27" s="7" t="inlineStr">
        <is>
          <t>2-3 weeks</t>
        </is>
      </c>
      <c r="J27" s="7" t="inlineStr">
        <is>
          <t>-</t>
        </is>
      </c>
      <c r="K27" s="7" t="inlineStr">
        <is>
          <t>4 pins, ~2.54 mm pitch (2.5 mm OK only if J3 footprint is checked); board half must fit J3 (C46061768 RA SMD socket) with legs straightened like #5358, or quote a board-edge/SMT version for a v3 footprint; ask for a dimensioned drawing incl. magnet polarity; pin order on the cable N-&gt;S must read GND, D+, D-, VBUS so the board piece reads VBUS, D-, D+, GND from its N end; buy cable + connector from the SAME supplier.</t>
        </is>
      </c>
      <c r="L27" s="7" t="inlineStr">
        <is>
          <t>100 / 1,000</t>
        </is>
      </c>
    </row>
    <row r="28">
      <c r="A28" s="7" t="inlineStr">
        <is>
          <t>Magnetic USB cable</t>
        </is>
      </c>
      <c r="B28" s="7" t="n">
        <v>2</v>
      </c>
      <c r="C28" s="7" t="inlineStr">
        <is>
          <t>Alibaba</t>
        </is>
      </c>
      <c r="D28" s="7" t="inlineStr">
        <is>
          <t>(see listing)</t>
        </is>
      </c>
      <c r="E28" s="7" t="inlineStr">
        <is>
          <t>Magnetic pogo USB charging cable, 2.5/4.0/7.62 mm pitch, 60 cm</t>
        </is>
      </c>
      <c r="F28" s="8" t="inlineStr">
        <is>
          <t>open listing</t>
        </is>
      </c>
      <c r="G28" s="7" t="inlineStr">
        <is>
          <t>Ask</t>
        </is>
      </c>
      <c r="H28" s="7" t="inlineStr">
        <is>
          <t>Ask</t>
        </is>
      </c>
      <c r="I28" s="7" t="inlineStr">
        <is>
          <t>2-3 weeks</t>
        </is>
      </c>
      <c r="J28" s="7" t="inlineStr">
        <is>
          <t>-</t>
        </is>
      </c>
      <c r="K28" s="7" t="inlineStr">
        <is>
          <t>4 pins, ~2.54 mm pitch (2.5 mm OK only if J3 footprint is checked); board half must fit J3 (C46061768 RA SMD socket) with legs straightened like #5358, or quote a board-edge/SMT version for a v3 footprint; ask for a dimensioned drawing incl. magnet polarity; pin order on the cable N-&gt;S must read GND, D+, D-, VBUS so the board piece reads VBUS, D-, D+, GND from its N end; buy cable + connector from the SAME supplier. Needs 4 pins (many smartwatch cables are 2-pin).</t>
        </is>
      </c>
      <c r="L28" s="7" t="inlineStr">
        <is>
          <t>100 / 1,000</t>
        </is>
      </c>
    </row>
    <row r="29">
      <c r="A29" s="7" t="inlineStr">
        <is>
          <t>Magnetic USB cable</t>
        </is>
      </c>
      <c r="B29" s="7" t="n">
        <v>3</v>
      </c>
      <c r="C29" s="7" t="inlineStr">
        <is>
          <t>Alibaba</t>
        </is>
      </c>
      <c r="D29" s="7" t="inlineStr">
        <is>
          <t>(see listing)</t>
        </is>
      </c>
      <c r="E29" s="7" t="inlineStr">
        <is>
          <t>Magnetic pogo 4-pin Type-C cable, 1-3 A</t>
        </is>
      </c>
      <c r="F29" s="8" t="inlineStr">
        <is>
          <t>open listing</t>
        </is>
      </c>
      <c r="G29" s="7" t="inlineStr">
        <is>
          <t>Ask</t>
        </is>
      </c>
      <c r="H29" s="7" t="inlineStr">
        <is>
          <t>Ask</t>
        </is>
      </c>
      <c r="I29" s="7" t="inlineStr">
        <is>
          <t>2-3 weeks</t>
        </is>
      </c>
      <c r="J29" s="7" t="inlineStr">
        <is>
          <t>-</t>
        </is>
      </c>
      <c r="K29" s="7" t="inlineStr">
        <is>
          <t>4 pins, ~2.54 mm pitch (2.5 mm OK only if J3 footprint is checked); board half must fit J3 (C46061768 RA SMD socket) with legs straightened like #5358, or quote a board-edge/SMT version for a v3 footprint; ask for a dimensioned drawing incl. magnet polarity; pin order on the cable N-&gt;S must read GND, D+, D-, VBUS so the board piece reads VBUS, D-, D+, GND from its N end; buy cable + connector from the SAME supplier.</t>
        </is>
      </c>
      <c r="L29" s="7" t="inlineStr">
        <is>
          <t>1,000</t>
        </is>
      </c>
    </row>
    <row r="30">
      <c r="A30" s="7" t="inlineStr">
        <is>
          <t>Magnetic USB cable</t>
        </is>
      </c>
      <c r="B30" s="7" t="n">
        <v>4</v>
      </c>
      <c r="C30" s="7" t="inlineStr">
        <is>
          <t>Adafruit</t>
        </is>
      </c>
      <c r="D30" s="7" t="inlineStr">
        <is>
          <t>Adafruit (#5412)</t>
        </is>
      </c>
      <c r="E30" s="7" t="inlineStr">
        <is>
          <t>Magnetic USB cable for 4-pin 0.1" connector, 60 cm</t>
        </is>
      </c>
      <c r="F30" s="8" t="inlineStr">
        <is>
          <t>open listing</t>
        </is>
      </c>
      <c r="G30" s="7" t="inlineStr">
        <is>
          <t>1</t>
        </is>
      </c>
      <c r="H30" s="7" t="inlineStr">
        <is>
          <t>$4.95 (low stock) [S8]</t>
        </is>
      </c>
      <c r="I30" s="7" t="inlineStr">
        <is>
          <t>2-3 days</t>
        </is>
      </c>
      <c r="J30" s="7" t="inlineStr">
        <is>
          <t>-</t>
        </is>
      </c>
      <c r="K30" s="7" t="inlineStr">
        <is>
          <t>Reference pin order.</t>
        </is>
      </c>
      <c r="L30" s="7" t="inlineStr">
        <is>
          <t>10</t>
        </is>
      </c>
    </row>
    <row r="31">
      <c r="A31" s="7" t="inlineStr">
        <is>
          <t>Packaging box</t>
        </is>
      </c>
      <c r="B31" s="7" t="n">
        <v>1</v>
      </c>
      <c r="C31" s="7" t="inlineStr">
        <is>
          <t>Alibaba</t>
        </is>
      </c>
      <c r="D31" s="7" t="inlineStr">
        <is>
          <t>Shenzhen Meijiacai Printing Co., Ltd. (and similar)</t>
        </is>
      </c>
      <c r="E31" s="7" t="inlineStr">
        <is>
          <t>Rigid / magnetic gift box with foam insert, custom logo</t>
        </is>
      </c>
      <c r="F31" s="8" t="inlineStr">
        <is>
          <t>open listing</t>
        </is>
      </c>
      <c r="G31" s="7" t="inlineStr">
        <is>
          <t>100</t>
        </is>
      </c>
      <c r="H31" s="7" t="inlineStr">
        <is>
          <t>$0.20-1.02 @100 [S9]</t>
        </is>
      </c>
      <c r="I31" s="7" t="inlineStr">
        <is>
          <t>Proof 3-5 days; 10-15 days prod.</t>
        </is>
      </c>
      <c r="J31" s="7" t="inlineStr">
        <is>
          <t>Ships flat if possible (cheaper)</t>
        </is>
      </c>
      <c r="K31" s="7" t="inlineStr">
        <is>
          <t>Box inner size for calculator + cable; insert die-line; print proof PDF; FSC paper optional; flat-packed vs assembled; carton qty.</t>
        </is>
      </c>
      <c r="L31" s="7" t="inlineStr">
        <is>
          <t>100 / 1,000</t>
        </is>
      </c>
    </row>
    <row r="32">
      <c r="A32" s="7" t="inlineStr">
        <is>
          <t>Packaging box</t>
        </is>
      </c>
      <c r="B32" s="7" t="n">
        <v>2</v>
      </c>
      <c r="C32" s="7" t="inlineStr">
        <is>
          <t>Alibaba</t>
        </is>
      </c>
      <c r="D32" s="7" t="inlineStr">
        <is>
          <t>(various)</t>
        </is>
      </c>
      <c r="E32" s="7" t="inlineStr">
        <is>
          <t>Custom foam / EVA box inserts</t>
        </is>
      </c>
      <c r="F32" s="8" t="inlineStr">
        <is>
          <t>open listing</t>
        </is>
      </c>
      <c r="G32" s="7" t="inlineStr">
        <is>
          <t>100-500</t>
        </is>
      </c>
      <c r="H32" s="7" t="inlineStr">
        <is>
          <t>Ask</t>
        </is>
      </c>
      <c r="I32" s="7" t="inlineStr">
        <is>
          <t>10-15 days</t>
        </is>
      </c>
      <c r="J32" s="7" t="inlineStr">
        <is>
          <t>-</t>
        </is>
      </c>
      <c r="K32" s="7" t="inlineStr">
        <is>
          <t>Box inner size for calculator + cable; insert die-line; print proof PDF; FSC paper optional; flat-packed vs assembled; carton qty.</t>
        </is>
      </c>
      <c r="L32" s="7" t="inlineStr">
        <is>
          <t>1,000</t>
        </is>
      </c>
    </row>
    <row r="33">
      <c r="A33" s="7" t="inlineStr">
        <is>
          <t>Packaging box</t>
        </is>
      </c>
      <c r="B33" s="7" t="n">
        <v>3</v>
      </c>
      <c r="C33" s="7" t="inlineStr">
        <is>
          <t>US retail</t>
        </is>
      </c>
      <c r="D33" s="7" t="inlineStr">
        <is>
          <t>Uline</t>
        </is>
      </c>
      <c r="E33" s="7" t="inlineStr">
        <is>
          <t>Stock mailer / small boxes (no MOQ)</t>
        </is>
      </c>
      <c r="F33" s="8" t="inlineStr">
        <is>
          <t>open listing</t>
        </is>
      </c>
      <c r="G33" s="7" t="inlineStr">
        <is>
          <t>1 bundle</t>
        </is>
      </c>
      <c r="H33" s="7" t="inlineStr">
        <is>
          <t>~$1-2 (estimate)</t>
        </is>
      </c>
      <c r="I33" s="7" t="inlineStr">
        <is>
          <t>1-2 days</t>
        </is>
      </c>
      <c r="J33" s="7" t="inlineStr">
        <is>
          <t>-</t>
        </is>
      </c>
      <c r="K33" s="7" t="inlineStr">
        <is>
          <t>Good enough for betas.</t>
        </is>
      </c>
      <c r="L33" s="7" t="inlineStr">
        <is>
          <t>10</t>
        </is>
      </c>
    </row>
    <row r="34">
      <c r="A34" s="7" t="inlineStr">
        <is>
          <t>Manual / card</t>
        </is>
      </c>
      <c r="B34" s="7" t="n">
        <v>1</v>
      </c>
      <c r="C34" s="7" t="inlineStr">
        <is>
          <t>1688/Alibaba via Ship4wd</t>
        </is>
      </c>
      <c r="D34" s="7" t="inlineStr">
        <is>
          <t>(see listing)</t>
        </is>
      </c>
      <c r="E34" s="7" t="inlineStr">
        <is>
          <t>Instruction manual custom printing</t>
        </is>
      </c>
      <c r="F34" s="8" t="inlineStr">
        <is>
          <t>open listing</t>
        </is>
      </c>
      <c r="G34" s="7" t="inlineStr">
        <is>
          <t>500</t>
        </is>
      </c>
      <c r="H34" s="7" t="inlineStr">
        <is>
          <t>$0.03 (500-4,999); $0.01 (10k+) [S10]</t>
        </is>
      </c>
      <c r="I34" s="7" t="inlineStr">
        <is>
          <t>7-10 days</t>
        </is>
      </c>
      <c r="J34" s="7" t="inlineStr">
        <is>
          <t>With the boxes</t>
        </is>
      </c>
      <c r="K34" s="7" t="inlineStr">
        <is>
          <t>Send print-ready PDF; ask for a proof photo.</t>
        </is>
      </c>
      <c r="L34" s="7" t="inlineStr">
        <is>
          <t>1,000</t>
        </is>
      </c>
    </row>
    <row r="35">
      <c r="A35" s="7" t="inlineStr">
        <is>
          <t>Manual / card</t>
        </is>
      </c>
      <c r="B35" s="7" t="n">
        <v>2</v>
      </c>
      <c r="C35" s="7" t="inlineStr">
        <is>
          <t>Online printer</t>
        </is>
      </c>
      <c r="D35" s="7" t="inlineStr">
        <is>
          <t>Vistaprint</t>
        </is>
      </c>
      <c r="E35" s="7" t="inlineStr">
        <is>
          <t>Booklets / cards (small runs)</t>
        </is>
      </c>
      <c r="F35" s="8" t="inlineStr">
        <is>
          <t>open listing</t>
        </is>
      </c>
      <c r="G35" s="7" t="inlineStr">
        <is>
          <t>~25</t>
        </is>
      </c>
      <c r="H35" s="7" t="inlineStr">
        <is>
          <t>~$0.20-0.50 (estimate)</t>
        </is>
      </c>
      <c r="I35" s="7" t="inlineStr">
        <is>
          <t>1 week</t>
        </is>
      </c>
      <c r="J35" s="7" t="inlineStr">
        <is>
          <t>-</t>
        </is>
      </c>
      <c r="K35" s="7" t="inlineStr">
        <is>
          <t>-</t>
        </is>
      </c>
      <c r="L35" s="7" t="inlineStr">
        <is>
          <t>100</t>
        </is>
      </c>
    </row>
    <row r="36">
      <c r="A36" s="7" t="inlineStr">
        <is>
          <t>Consumables</t>
        </is>
      </c>
      <c r="B36" s="7" t="n">
        <v>1</v>
      </c>
      <c r="C36" s="7" t="inlineStr">
        <is>
          <t>Retail</t>
        </is>
      </c>
      <c r="D36" s="7" t="inlineStr">
        <is>
          <t>Olimex</t>
        </is>
      </c>
      <c r="E36" s="7" t="inlineStr">
        <is>
          <t>Kapton tape 10 mm</t>
        </is>
      </c>
      <c r="F36" s="8" t="inlineStr">
        <is>
          <t>open listing</t>
        </is>
      </c>
      <c r="G36" s="7" t="inlineStr">
        <is>
          <t>1</t>
        </is>
      </c>
      <c r="H36" s="7" t="inlineStr">
        <is>
          <t>~$3-5 a roll (estimate)</t>
        </is>
      </c>
      <c r="I36" s="7" t="inlineStr">
        <is>
          <t>-</t>
        </is>
      </c>
      <c r="J36" s="7" t="inlineStr">
        <is>
          <t>-</t>
        </is>
      </c>
      <c r="K36" s="7" t="inlineStr">
        <is>
          <t>Kapton 10 mm x 33 m, 1 mil, silicone adhesive; double-sided tape 0.1-0.15 mm; glue that doesn't fog the window (avoid CA).</t>
        </is>
      </c>
      <c r="L36" s="7" t="inlineStr">
        <is>
          <t>10 / 100</t>
        </is>
      </c>
    </row>
    <row r="37">
      <c r="A37" s="7" t="inlineStr">
        <is>
          <t>Consumables</t>
        </is>
      </c>
      <c r="B37" s="7" t="n">
        <v>2</v>
      </c>
      <c r="C37" s="7" t="inlineStr">
        <is>
          <t>US retail</t>
        </is>
      </c>
      <c r="D37" s="7" t="inlineStr">
        <is>
          <t>Uline (S-7595)</t>
        </is>
      </c>
      <c r="E37" s="7" t="inlineStr">
        <is>
          <t>Kapton tape 1 mil, 1/2" x 36 yds</t>
        </is>
      </c>
      <c r="F37" s="8" t="inlineStr">
        <is>
          <t>open listing</t>
        </is>
      </c>
      <c r="G37" s="7" t="inlineStr">
        <is>
          <t>1</t>
        </is>
      </c>
      <c r="H37" s="7" t="inlineStr">
        <is>
          <t>See listing</t>
        </is>
      </c>
      <c r="I37" s="7" t="inlineStr">
        <is>
          <t>1-2 days</t>
        </is>
      </c>
      <c r="J37" s="7" t="inlineStr">
        <is>
          <t>-</t>
        </is>
      </c>
      <c r="K37" s="7" t="inlineStr">
        <is>
          <t>Kapton 10 mm x 33 m, 1 mil, silicone adhesive; double-sided tape 0.1-0.15 mm; glue that doesn't fog the window (avoid CA).</t>
        </is>
      </c>
      <c r="L37" s="7" t="inlineStr">
        <is>
          <t>100</t>
        </is>
      </c>
    </row>
    <row r="38">
      <c r="A38" s="7" t="inlineStr">
        <is>
          <t>Consumables</t>
        </is>
      </c>
      <c r="B38" s="7" t="n">
        <v>3</v>
      </c>
      <c r="C38" s="7" t="inlineStr">
        <is>
          <t>AliExpress / Alibaba</t>
        </is>
      </c>
      <c r="D38" s="7" t="inlineStr">
        <is>
          <t>(various)</t>
        </is>
      </c>
      <c r="E38" s="7" t="inlineStr">
        <is>
          <t>Polyimide tape, 3M 9448A-type thin double-sided tape, B-7000 glue</t>
        </is>
      </c>
      <c r="F38" s="8" t="inlineStr">
        <is>
          <t>open listing</t>
        </is>
      </c>
      <c r="G38" s="7" t="inlineStr">
        <is>
          <t>1</t>
        </is>
      </c>
      <c r="H38" s="7" t="inlineStr">
        <is>
          <t>$1-3 a roll (estimate)</t>
        </is>
      </c>
      <c r="I38" s="7" t="inlineStr">
        <is>
          <t>7-15 days</t>
        </is>
      </c>
      <c r="J38" s="7" t="inlineStr">
        <is>
          <t>-</t>
        </is>
      </c>
      <c r="K38" s="7" t="inlineStr">
        <is>
          <t>Kapton 10 mm x 33 m, 1 mil, silicone adhesive; double-sided tape 0.1-0.15 mm; glue that doesn't fog the window (avoid CA).</t>
        </is>
      </c>
      <c r="L38" s="7" t="inlineStr">
        <is>
          <t>1,000</t>
        </is>
      </c>
    </row>
    <row r="39">
      <c r="A39" s="7" t="inlineStr">
        <is>
          <t>PCBA</t>
        </is>
      </c>
      <c r="B39" s="7" t="n">
        <v>1</v>
      </c>
      <c r="C39" s="7" t="inlineStr">
        <is>
          <t>JLCPCB</t>
        </is>
      </c>
      <c r="D39" s="7" t="inlineStr">
        <is>
          <t>JLCPCB</t>
        </is>
      </c>
      <c r="E39" s="7" t="inlineStr">
        <is>
          <t>PCB + Standard PCBA, v14 files (hardware/fab); v15-LCD files hardware/fab_v15_lcd/ (verified ORDER, review 14)</t>
        </is>
      </c>
      <c r="F39" s="8" t="inlineStr">
        <is>
          <t>open listing</t>
        </is>
      </c>
      <c r="G39" s="7" t="inlineStr">
        <is>
          <t>5 boards (2+ assembled)</t>
        </is>
      </c>
      <c r="H39" s="7" t="inlineStr">
        <is>
          <t>Per unit ≈ $18 @10, $9 @100, $7.30 @1,000 (roadmap estimate) [S8]</t>
        </is>
      </c>
      <c r="I39" s="7" t="inlineStr">
        <is>
          <t>Build 5-7 days + DHL 3-5</t>
        </is>
      </c>
      <c r="J39" s="7" t="inlineStr">
        <is>
          <t>DDP: tariff paid at checkout (35-92.5 %)</t>
        </is>
      </c>
      <c r="K39" s="7" t="inlineStr">
        <is>
          <t>Keep the CPL rotation; verify preview each order; order a stencil once.</t>
        </is>
      </c>
      <c r="L39" s="7" t="inlineStr">
        <is>
          <t>all</t>
        </is>
      </c>
    </row>
    <row r="40">
      <c r="A40" s="7" t="inlineStr">
        <is>
          <t>PCBA</t>
        </is>
      </c>
      <c r="B40" s="7" t="n">
        <v>2</v>
      </c>
      <c r="C40" s="7" t="inlineStr">
        <is>
          <t>LCSC</t>
        </is>
      </c>
      <c r="D40" s="7" t="inlineStr">
        <is>
          <t>LCSC (via JLCPCB parts library)</t>
        </is>
      </c>
      <c r="E40" s="7" t="inlineStr">
        <is>
          <t>ESP32-S3-MINI-1-N4R2 C3013941, TCA8418 C138713 etc.</t>
        </is>
      </c>
      <c r="F40" s="8" t="inlineStr">
        <is>
          <t>open listing</t>
        </is>
      </c>
      <c r="G40" s="7" t="inlineStr">
        <is>
          <t>1</t>
        </is>
      </c>
      <c r="H40" s="7" t="inlineStr">
        <is>
          <t>ESP32 $5.00 → $3.63 @100 → $3.38 @reel (roadmap) [S8]</t>
        </is>
      </c>
      <c r="I40" s="7" t="inlineStr">
        <is>
          <t>-</t>
        </is>
      </c>
      <c r="J40" s="7" t="inlineStr">
        <is>
          <t>-</t>
        </is>
      </c>
      <c r="K40" s="7" t="inlineStr">
        <is>
          <t>Pre-order parts into your JLCPCB parts library before a 1,000 run to lock stock.</t>
        </is>
      </c>
      <c r="L40" s="7" t="inlineStr">
        <is>
          <t>100 / 1,000</t>
        </is>
      </c>
    </row>
    <row r="41">
      <c r="A41" s="7" t="inlineStr">
        <is>
          <t>LCD 1.9" 170x320 (v15)</t>
        </is>
      </c>
      <c r="B41" s="7" t="n">
        <v>1</v>
      </c>
      <c r="C41" s="7" t="inlineStr">
        <is>
          <t>Adafruit (US)</t>
        </is>
      </c>
      <c r="D41" s="7" t="inlineStr">
        <is>
          <t>Adafruit</t>
        </is>
      </c>
      <c r="E41" s="7" t="inlineStr">
        <is>
          <t>1.9" 320x170 IPS TFT breakout, ST7789 (#5394); panel inside = our 30-pin panel</t>
        </is>
      </c>
      <c r="F41" s="8" t="inlineStr">
        <is>
          <t>open listing</t>
        </is>
      </c>
      <c r="G41" s="7" t="inlineStr">
        <is>
          <t>1</t>
        </is>
      </c>
      <c r="H41" s="7" t="inlineStr">
        <is>
          <t>$17.50 / $15.75 (10) / $14.00 (100)</t>
        </is>
      </c>
      <c r="I41" s="7" t="inlineStr">
        <is>
          <t>In stock, 2-3 days</t>
        </is>
      </c>
      <c r="J41" s="7" t="inlineStr">
        <is>
          <t>Breakout does not fit; peel the panel off</t>
        </is>
      </c>
      <c r="K41" s="7" t="inlineStr">
        <is>
          <t>Optional FALLBACK only (the ER-TFT019-1 replaced it on 2026-10-08). Same 30-pin glass inside; take it off the breakout.</t>
        </is>
      </c>
      <c r="L41" s="7" t="inlineStr">
        <is>
          <t>fallback</t>
        </is>
      </c>
    </row>
    <row r="42">
      <c r="A42" s="7" t="inlineStr">
        <is>
          <t>LCD 1.9" 170x320 (v15)</t>
        </is>
      </c>
      <c r="B42" s="7" t="n">
        <v>2</v>
      </c>
      <c r="C42" s="7" t="inlineStr">
        <is>
          <t>AliExpress</t>
        </is>
      </c>
      <c r="D42" s="7" t="inlineStr">
        <is>
          <t>Jessinie Store</t>
        </is>
      </c>
      <c r="E42" s="7" t="inlineStr">
        <is>
          <t>1.9 inch IPS bare screen 30Pin plug-in, ST7789 (FPC NFP190B-21AF / -21A)</t>
        </is>
      </c>
      <c r="F42" s="8" t="inlineStr">
        <is>
          <t>open listing</t>
        </is>
      </c>
      <c r="G42" s="7" t="inlineStr">
        <is>
          <t>1</t>
        </is>
      </c>
      <c r="H42" s="7" t="inlineStr">
        <is>
          <t>$2.82 (sale; list $3.76) + $5.27 shipping [S11]</t>
        </is>
      </c>
      <c r="I42" s="7" t="inlineStr">
        <is>
          <t>Delivery Oct 17-24 (seen 10/8)</t>
        </is>
      </c>
      <c r="J42" s="7" t="inlineStr">
        <is>
          <t>Choice/standard</t>
        </is>
      </c>
      <c r="K42" s="7" t="inlineStr">
        <is>
          <t>Superseded by Alibaba Goldenmorning / ZJY for bulk. If bought: 30Pin variant, ST7789 (NOT the DJ9853 clone); diode test; tail 36.6 mm.</t>
        </is>
      </c>
      <c r="L42" s="7" t="inlineStr">
        <is>
          <t>not planned</t>
        </is>
      </c>
    </row>
    <row r="43">
      <c r="A43" s="7" t="inlineStr">
        <is>
          <t>LCD 1.9" 170x320 (v15)</t>
        </is>
      </c>
      <c r="B43" s="7" t="n">
        <v>3</v>
      </c>
      <c r="C43" s="7" t="inlineStr">
        <is>
          <t>Manufacturer</t>
        </is>
      </c>
      <c r="D43" s="7" t="inlineStr">
        <is>
          <t>NoseDisplay</t>
        </is>
      </c>
      <c r="E43" s="7" t="inlineStr">
        <is>
          <t>ND019TSN170320-A01 1.9" 170x320 IPS, ST7789P3, 30-pin; custom FPC length offered</t>
        </is>
      </c>
      <c r="F43" s="8" t="inlineStr">
        <is>
          <t>open listing</t>
        </is>
      </c>
      <c r="G43" s="7" t="inlineStr">
        <is>
          <t>Quote</t>
        </is>
      </c>
      <c r="H43" s="7" t="inlineStr">
        <is>
          <t>RFQ [S12]</t>
        </is>
      </c>
      <c r="I43" s="7" t="inlineStr">
        <is>
          <t>Samples on request</t>
        </is>
      </c>
      <c r="J43" s="7" t="inlineStr">
        <is>
          <t>Express</t>
        </is>
      </c>
      <c r="K43" s="7" t="inlineStr">
        <is>
          <t>Outline 25.10 x 49.30 x 2.10 mm (0.1 mm over the 2.0 limit); pins 1-24 as TFT1901; ask for an 18-20 mm tail and pins 25-30.</t>
        </is>
      </c>
      <c r="L43" s="7" t="inlineStr">
        <is>
          <t>100 / 1,000</t>
        </is>
      </c>
    </row>
    <row r="44">
      <c r="A44" s="7" t="inlineStr">
        <is>
          <t>LCD 1.9" 170x320 (v15)</t>
        </is>
      </c>
      <c r="B44" s="7" t="n">
        <v>4</v>
      </c>
      <c r="C44" s="7" t="inlineStr">
        <is>
          <t>Manufacturer</t>
        </is>
      </c>
      <c r="D44" s="7" t="inlineStr">
        <is>
          <t>BuyDisplay / East Rising</t>
        </is>
      </c>
      <c r="E44" s="7" t="inlineStr">
        <is>
          <t>ER-TFT019-1 1.9" 170x320 IPS, ST7789P3, 4-SPI/8080, no-touch version; custom FPC service</t>
        </is>
      </c>
      <c r="F44" s="8" t="inlineStr">
        <is>
          <t>open listing</t>
        </is>
      </c>
      <c r="G44" s="7" t="inlineStr">
        <is>
          <t>1</t>
        </is>
      </c>
      <c r="H44" s="7" t="inlineStr">
        <is>
          <t>~$6-7 (1) / $6.22 (10) / $5.71 (100) [S13]</t>
        </is>
      </c>
      <c r="I44" s="7" t="inlineStr">
        <is>
          <t>In stock</t>
        </is>
      </c>
      <c r="J44" s="7" t="inlineStr">
        <is>
          <t>Shipping per order (check at checkout)</t>
        </is>
      </c>
      <c r="K44" s="7" t="inlineStr">
        <is>
          <t>CHOSEN prototype panel (review 14): datasheet rev 2.0 checked pin for pin vs J5; 25.80 x 49.72 x 1.43 mm, tail 36.6 ± 0.3 mm, VLED 2.8-3.2 V @ 60 mA (R23 = 15 Ω). The ER-CON30HT-1 socket is NOT needed.</t>
        </is>
      </c>
      <c r="L44" s="7" t="inlineStr">
        <is>
          <t>prototypes (3) / 10</t>
        </is>
      </c>
    </row>
    <row r="45">
      <c r="A45" s="7" t="inlineStr">
        <is>
          <t>LCD 1.9" 170x320 (v15)</t>
        </is>
      </c>
      <c r="B45" s="7" t="n">
        <v>5</v>
      </c>
      <c r="C45" s="7" t="inlineStr">
        <is>
          <t>Alibaba</t>
        </is>
      </c>
      <c r="D45" s="7" t="inlineStr">
        <is>
          <t>Shenzhen Goldenmorning Electronic Co., Ltd.</t>
        </is>
      </c>
      <c r="E45" s="7" t="inlineStr">
        <is>
          <t>T190X7-C30-01 1.9" 170x320 IPS, ST7789P3, 30-pin (pin table verified)</t>
        </is>
      </c>
      <c r="F45" s="8" t="inlineStr">
        <is>
          <t>open listing</t>
        </is>
      </c>
      <c r="G45" s="7" t="inlineStr">
        <is>
          <t>1</t>
        </is>
      </c>
      <c r="H45" s="7" t="inlineStr">
        <is>
          <t>$1.85-2.50, excl. shipping [S15]</t>
        </is>
      </c>
      <c r="I45" s="7" t="inlineStr">
        <is>
          <t>Ask</t>
        </is>
      </c>
      <c r="J45" s="7" t="inlineStr">
        <is>
          <t>Express</t>
        </is>
      </c>
      <c r="K45" s="7" t="inlineStr">
        <is>
          <t>Recommended SAMPLE. Ask for the plastic-frame ~1.4 mm build (datasheet shows a 2.11 mm metal frame, too thick).</t>
        </is>
      </c>
      <c r="L45" s="7" t="inlineStr">
        <is>
          <t>samples / 100</t>
        </is>
      </c>
    </row>
    <row r="46">
      <c r="A46" s="7" t="inlineStr">
        <is>
          <t>LCD 1.9" 170x320 (v15)</t>
        </is>
      </c>
      <c r="B46" s="7" t="n">
        <v>6</v>
      </c>
      <c r="C46" s="7" t="inlineStr">
        <is>
          <t>Alibaba</t>
        </is>
      </c>
      <c r="D46" s="7" t="inlineStr">
        <is>
          <t>Zhengzhou Zhongjingyuan Electronic Technology (ZJY)</t>
        </is>
      </c>
      <c r="E46" s="7" t="inlineStr">
        <is>
          <t>1.9" 170x320 30-pin TFT, ST7789V3</t>
        </is>
      </c>
      <c r="F46" s="8" t="inlineStr">
        <is>
          <t>open listing</t>
        </is>
      </c>
      <c r="G46" s="7" t="inlineStr">
        <is>
          <t>2</t>
        </is>
      </c>
      <c r="H46" s="7" t="inlineStr">
        <is>
          <t>$2.50 @100 / $2.30 @1,000 [S15]</t>
        </is>
      </c>
      <c r="I46" s="7" t="inlineStr">
        <is>
          <t>Ask</t>
        </is>
      </c>
      <c r="J46" s="7" t="inlineStr">
        <is>
          <t>Express / sea</t>
        </is>
      </c>
      <c r="K46" s="7" t="inlineStr">
        <is>
          <t>Recommended BULK. Confirm the drawing and pin table first (pin 7 SCL, 8 RS, 20 LEDA, 21-24 LEDK); ask about an 18-20 mm FPC tail.</t>
        </is>
      </c>
      <c r="L46" s="7" t="inlineStr">
        <is>
          <t>100 / 1,000</t>
        </is>
      </c>
    </row>
    <row r="47">
      <c r="A47" s="7" t="inlineStr">
        <is>
          <t>Magnetic connector</t>
        </is>
      </c>
      <c r="B47" s="7" t="inlineStr">
        <is>
          <t>5</t>
        </is>
      </c>
      <c r="C47" s="7" t="inlineStr">
        <is>
          <t>Manufacturer</t>
        </is>
      </c>
      <c r="D47" s="7" t="inlineStr">
        <is>
          <t>Yiwei</t>
        </is>
      </c>
      <c r="E47" s="7" t="inlineStr">
        <is>
          <t>MG04254FRA1S1N: the same part as Adafruit #5358 (4-contact right-angle magnetic piece)</t>
        </is>
      </c>
      <c r="F47" s="7" t="inlineStr">
        <is>
          <t>no link yet</t>
        </is>
      </c>
      <c r="G47" s="7" t="inlineStr">
        <is>
          <t>Ask</t>
        </is>
      </c>
      <c r="H47" s="7" t="inlineStr">
        <is>
          <t>Ask (not price-checked)</t>
        </is>
      </c>
      <c r="I47" s="7" t="inlineStr">
        <is>
          <t>Ask</t>
        </is>
      </c>
      <c r="J47" s="7" t="inlineStr">
        <is>
          <t>-</t>
        </is>
      </c>
      <c r="K47" s="7" t="inlineStr">
        <is>
          <t>Same part as #5358 (Nirav, 2026-10-10). Fits J3 as #5358 does: J3 = 1 VBUS, 2 D-, 3 D+, 4 GND, piece N end at pin 1. Meter check with the real cable before gluing.</t>
        </is>
      </c>
      <c r="L47" s="7" t="inlineStr">
        <is>
          <t>100 / 1,000</t>
        </is>
      </c>
    </row>
    <row r="48">
      <c r="A48" s="7" t="inlineStr">
        <is>
          <t>Magnetic USB cable</t>
        </is>
      </c>
      <c r="B48" s="7" t="inlineStr">
        <is>
          <t>5</t>
        </is>
      </c>
      <c r="C48" s="7" t="inlineStr">
        <is>
          <t>Manufacturer</t>
        </is>
      </c>
      <c r="D48" s="7" t="inlineStr">
        <is>
          <t>Yiwei</t>
        </is>
      </c>
      <c r="E48" s="7" t="inlineStr">
        <is>
          <t>MG0425-UB-60-4P magnetic USB cable, 4-pin, 60 cm: equivalent of Adafruit #5412</t>
        </is>
      </c>
      <c r="F48" s="7" t="inlineStr">
        <is>
          <t>no link yet</t>
        </is>
      </c>
      <c r="G48" s="7" t="inlineStr">
        <is>
          <t>Ask</t>
        </is>
      </c>
      <c r="H48" s="7" t="inlineStr">
        <is>
          <t>Ask (not price-checked)</t>
        </is>
      </c>
      <c r="I48" s="7" t="inlineStr">
        <is>
          <t>Ask</t>
        </is>
      </c>
      <c r="J48" s="7" t="inlineStr">
        <is>
          <t>-</t>
        </is>
      </c>
      <c r="K48" s="7" t="inlineStr">
        <is>
          <t>Reads GND, D+, D-, V+ from its N end, matching #5412 (Nirav, 2026-10-10). Mates with the MG04254FRA1S1N / #5358 piece. Meter check before gluing.</t>
        </is>
      </c>
      <c r="L48" s="7" t="inlineStr">
        <is>
          <t>100 / 1,000</t>
        </is>
      </c>
    </row>
    <row r="49">
      <c r="A49" s="7" t="inlineStr">
        <is>
          <t>LiPo ~150 mAh</t>
        </is>
      </c>
      <c r="B49" s="7" t="n">
        <v>6</v>
      </c>
      <c r="C49" s="7" t="inlineStr">
        <is>
          <t>Alibaba</t>
        </is>
      </c>
      <c r="D49" s="7" t="inlineStr">
        <is>
          <t>Taiwoo (TW302030 listing)</t>
        </is>
      </c>
      <c r="E49" s="7" t="inlineStr">
        <is>
          <t>Taiwoo TW302030 LiPo 3.7 V 140 mAh, L 30 (+2/−0.5) × W 20 ± 0.5 × T 3.0 ± 0.3 mm incl. PCB; connector 1.0 / 1.25 / 2.0 mm; PCM customised (3.0 V cut-off available)</t>
        </is>
      </c>
      <c r="F49" s="8" t="inlineStr">
        <is>
          <t>no link yet</t>
        </is>
      </c>
      <c r="G49" s="7" t="inlineStr">
        <is>
          <t>Ask</t>
        </is>
      </c>
      <c r="H49" s="7" t="inlineStr">
        <is>
          <t>Ask (not price-checked)</t>
        </is>
      </c>
      <c r="I49" s="7" t="inlineStr">
        <is>
          <t>Ask</t>
        </is>
      </c>
      <c r="J49" s="7" t="inlineStr">
        <is>
          <t>DG (UN3481); ask for UN38.3 + MSDS</t>
        </is>
      </c>
      <c r="K49" s="7" t="inlineStr">
        <is>
          <t>CAD fit-checked 2026-10-10 on v14 and v15 (hardware/enclosure/final_assembly/variant_battery_tw302030/results.json): FITS when placed 1 mm LEFT of the #1317 position (left edge ~1.7 mm from the corner post, top edge 0.8 mm from the lip; a cell over ~20.3 mm wide goes right up to the lip). Ask for: PCM included; JST-PH 2.0 2-pin, red (+) on pin 2, black on pin 1 (photo); leads 50–80 mm leaving the short (lead) end; UN38.3 + MSDS in the seller's name. Meter the polarity of every sample.</t>
        </is>
      </c>
      <c r="L49" s="7" t="inlineStr">
        <is>
          <t>100 / 1,000</t>
        </is>
      </c>
    </row>
  </sheetData>
  <autoFilter ref="A3:L40"/>
  <mergeCells count="1">
    <mergeCell ref="A2:L2"/>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 xmlns:r="http://schemas.openxmlformats.org/officeDocument/2006/relationships" ref="F14" r:id="rId11"/>
    <hyperlink xmlns:r="http://schemas.openxmlformats.org/officeDocument/2006/relationships" ref="F15" r:id="rId12"/>
    <hyperlink xmlns:r="http://schemas.openxmlformats.org/officeDocument/2006/relationships" ref="F16" r:id="rId13"/>
    <hyperlink xmlns:r="http://schemas.openxmlformats.org/officeDocument/2006/relationships" ref="F17" r:id="rId14"/>
    <hyperlink xmlns:r="http://schemas.openxmlformats.org/officeDocument/2006/relationships" ref="F18" r:id="rId15"/>
    <hyperlink xmlns:r="http://schemas.openxmlformats.org/officeDocument/2006/relationships" ref="F19" r:id="rId16"/>
    <hyperlink xmlns:r="http://schemas.openxmlformats.org/officeDocument/2006/relationships" ref="F20" r:id="rId17"/>
    <hyperlink xmlns:r="http://schemas.openxmlformats.org/officeDocument/2006/relationships" ref="F21" r:id="rId18"/>
    <hyperlink xmlns:r="http://schemas.openxmlformats.org/officeDocument/2006/relationships" ref="F22" r:id="rId19"/>
    <hyperlink xmlns:r="http://schemas.openxmlformats.org/officeDocument/2006/relationships" ref="F23" r:id="rId20"/>
    <hyperlink xmlns:r="http://schemas.openxmlformats.org/officeDocument/2006/relationships" ref="F24" r:id="rId21"/>
    <hyperlink xmlns:r="http://schemas.openxmlformats.org/officeDocument/2006/relationships" ref="F25" r:id="rId22"/>
    <hyperlink xmlns:r="http://schemas.openxmlformats.org/officeDocument/2006/relationships" ref="F26" r:id="rId23"/>
    <hyperlink xmlns:r="http://schemas.openxmlformats.org/officeDocument/2006/relationships" ref="F27" r:id="rId24"/>
    <hyperlink xmlns:r="http://schemas.openxmlformats.org/officeDocument/2006/relationships" ref="F28" r:id="rId25"/>
    <hyperlink xmlns:r="http://schemas.openxmlformats.org/officeDocument/2006/relationships" ref="F29" r:id="rId26"/>
    <hyperlink xmlns:r="http://schemas.openxmlformats.org/officeDocument/2006/relationships" ref="F30" r:id="rId27"/>
    <hyperlink xmlns:r="http://schemas.openxmlformats.org/officeDocument/2006/relationships" ref="F31" r:id="rId28"/>
    <hyperlink xmlns:r="http://schemas.openxmlformats.org/officeDocument/2006/relationships" ref="F32" r:id="rId29"/>
    <hyperlink xmlns:r="http://schemas.openxmlformats.org/officeDocument/2006/relationships" ref="F33" r:id="rId30"/>
    <hyperlink xmlns:r="http://schemas.openxmlformats.org/officeDocument/2006/relationships" ref="F34" r:id="rId31"/>
    <hyperlink xmlns:r="http://schemas.openxmlformats.org/officeDocument/2006/relationships" ref="F35" r:id="rId32"/>
    <hyperlink xmlns:r="http://schemas.openxmlformats.org/officeDocument/2006/relationships" ref="F36" r:id="rId33"/>
    <hyperlink xmlns:r="http://schemas.openxmlformats.org/officeDocument/2006/relationships" ref="F37" r:id="rId34"/>
    <hyperlink xmlns:r="http://schemas.openxmlformats.org/officeDocument/2006/relationships" ref="F38" r:id="rId35"/>
    <hyperlink xmlns:r="http://schemas.openxmlformats.org/officeDocument/2006/relationships" ref="F39" r:id="rId36"/>
    <hyperlink xmlns:r="http://schemas.openxmlformats.org/officeDocument/2006/relationships" ref="F40" r:id="rId37"/>
    <hyperlink xmlns:r="http://schemas.openxmlformats.org/officeDocument/2006/relationships" ref="F41" r:id="rId38"/>
    <hyperlink xmlns:r="http://schemas.openxmlformats.org/officeDocument/2006/relationships" ref="F42" r:id="rId39"/>
    <hyperlink xmlns:r="http://schemas.openxmlformats.org/officeDocument/2006/relationships" ref="F43" r:id="rId40"/>
    <hyperlink xmlns:r="http://schemas.openxmlformats.org/officeDocument/2006/relationships" ref="F44" r:id="rId41"/>
    <hyperlink xmlns:r="http://schemas.openxmlformats.org/officeDocument/2006/relationships" ref="F45" r:id="rId42"/>
    <hyperlink xmlns:r="http://schemas.openxmlformats.org/officeDocument/2006/relationships" ref="F46" r:id="rId4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pane ySplit="2" topLeftCell="A3" activePane="bottomLeft" state="frozen"/>
      <selection pane="bottomLeft" activeCell="A1" sqref="A1"/>
    </sheetView>
  </sheetViews>
  <sheetFormatPr baseColWidth="8" defaultRowHeight="15"/>
  <cols>
    <col width="26" customWidth="1" min="1" max="1"/>
    <col width="120" customWidth="1" min="2" max="2"/>
  </cols>
  <sheetData>
    <row r="1">
      <c r="A1" s="1" t="inlineStr">
        <is>
          <t>Supplier message templates (paste into Alibaba chat / email; replace [brackets])</t>
        </is>
      </c>
    </row>
    <row r="2">
      <c r="A2" s="18" t="inlineStr">
        <is>
          <t>For</t>
        </is>
      </c>
      <c r="B2" s="18" t="inlineStr">
        <is>
          <t>Message</t>
        </is>
      </c>
    </row>
    <row r="3">
      <c r="A3" s="19" t="inlineStr">
        <is>
          <t>Any supplier: first contact</t>
        </is>
      </c>
      <c r="B3" s="7" t="inlineStr">
        <is>
          <t>Hi, I'm developing a small handheld electronics product in the USA. I'd like 2 samples of [item / listing link] first, then possibly [100] and later [1,000] pcs. Please send: (1) price tiers for 10 / 100 / 1,000 / 3,000 pcs, (2) sample price + DHL shipping to [ZIP] USA, (3) lead time for each quantity, (4) datasheet / drawing, (5) whether you can use Trade Assurance. Thank you!</t>
        </is>
      </c>
    </row>
    <row r="4">
      <c r="A4" s="19" t="inlineStr">
        <is>
          <t>Knockoff calculator (shell)</t>
        </is>
      </c>
      <c r="B4" s="7" t="inlineStr">
        <is>
          <t>Hi, I'm interested in your 991ES PLUS scientific calculator [link]. Before ordering 2 samples, please send: (1) photos of the inside with the circuit board removed, (2) a photo of the rubber key-mat contact side, (3) the model number and mould number, and confirmation future orders use the SAME mould, (4) outer size and screw positions, (5) price for 10 / 100 / 1,000 pcs, plain version with NO brand logo printed. Can you supply the shell + key mat + window + screws + slide cover without the PCB and battery?</t>
        </is>
      </c>
    </row>
    <row r="5">
      <c r="A5" s="19" t="inlineStr">
        <is>
          <t>OV5640 AF camera</t>
        </is>
      </c>
      <c r="B5" s="7" t="inlineStr">
        <is>
          <t>Hi, I need an OV5640 autofocus DVP module with a 24-pin 0.5 mm FPC, same pinout as the Seeed 'OV5640 for XIAO ESP32S3 Sense'. Please send the FPC pinout drawing, the FPC length and contact side, lens FOV, and AF driver. Can you make the FPC [xx] mm long? Price for 2 samples, 100 and 1,000 pcs, and lead time please.</t>
        </is>
      </c>
    </row>
    <row r="6">
      <c r="A6" s="19" t="inlineStr">
        <is>
          <t>E-paper (Good Display)</t>
        </is>
      </c>
      <c r="B6" s="7" t="inlineStr">
        <is>
          <t>Hi Good Display team, I'm using the GDEY0213B74 (2.13" B/W, SSD1680, 24-pin FPC) in a handheld product. Please quote 10, 100 and 1,000 pcs of the bare panel, with lead time and DHL shipping to [ZIP] USA. Please also confirm the current datasheet version and that the FPC pin order is unchanged. Is there an MOQ?</t>
        </is>
      </c>
    </row>
    <row r="7">
      <c r="A7" s="19" t="inlineStr">
        <is>
          <t>LiPo battery</t>
        </is>
      </c>
      <c r="B7" s="7" t="inlineStr">
        <is>
          <t>Hi, I need a 3.7 V LiPo, about 150 mAh, about 26 x 20 x 3.8 mm and at most 33.5 x 20.7 x 3.8 mm INCLUDING the protection board, with a JST-PH 2.0 plug, red wire = + (photo please, same polarity as Adafruit #1317), lead length [xx] mm. Please send: UN38.3 test summary, MSDS/SDS, IEC 62133 (CB) report for THIS model in your company name, the cell model (e.g. 382026/402025), price for 2 samples / 100 / 1,000, and how you ship batteries to the USA (UN3481).</t>
        </is>
      </c>
    </row>
    <row r="8">
      <c r="A8" s="19" t="inlineStr">
        <is>
          <t>Magnetic connector + cable</t>
        </is>
      </c>
      <c r="B8" s="7" t="inlineStr">
        <is>
          <t>Hi, I need a 4-pin magnetic pogo connector pair, ~2.54 mm pitch, plus a matching USB-A (or USB-C) magnetic cable, 60 cm. The board half is right-angle (or board-edge SMT). Please send a dimensioned drawing with magnet polarity. Pin order on the cable plug, N to S: GND, D+, D-, VBUS (USB data must work, not only charging). Price for 2 sample sets / 100 / 1,000 and lead time please. Can you customise pin order and cable length?</t>
        </is>
      </c>
    </row>
    <row r="9">
      <c r="A9" s="19" t="inlineStr">
        <is>
          <t>Packaging</t>
        </is>
      </c>
      <c r="B9" s="7" t="inlineStr">
        <is>
          <t>Hi, please quote a printed box with a die-cut foam/EVA insert for a calculator ([L x W x H] mm) plus a USB cable. Quantities 100 and 1,000, 1 colour print outside, and the price of a printed sample. Please send the die-line template, and quote a small folded manual (A6, 8 pages, B/W) too.</t>
        </is>
      </c>
    </row>
    <row r="10">
      <c r="A10" s="19" t="inlineStr">
        <is>
          <t>Follow-up / negotiation</t>
        </is>
      </c>
      <c r="B10" s="7" t="inlineStr">
        <is>
          <t>Thank you for the quote. Samples arrived and passed. For the [100] pcs order: can you match [$x], keep the same materials/revision as the samples, and send photos of the finished goods before shipping? Please confirm in the PI that the product matches the approved sample.</t>
        </is>
      </c>
    </row>
    <row r="11">
      <c r="A11" s="31" t="inlineStr">
        <is>
          <t>LCD 1.9" panel (v15)</t>
        </is>
      </c>
      <c r="B11" s="27" t="inlineStr">
        <is>
          <t>Hi [supplier] team, I'm using a 1.9" 170x320 IPS TFT with an ST7789 controller and a 30-pin 0.5 mm FPC (same as BuyDisplay ER-TFT019-1 / TFT1901 / N190-1732TBWPG01, the LilyGO T-Display-S3 panel) in a handheld product. Please quote 10, 100 and 1,000 pcs, with lead time and DHL shipping to [ZIP] USA. Please send the drawing and datasheet, confirm the controller is ST7789 (not a clone), the pin order (pin 7 SCL, 8 RS, 20 LEDA, 21-24 LEDK), the FPC tail length, and whether you can make the FPC tail 18-20 mm long (MOQ and price). Please quote the plastic-frame (about 1.4 mm thick) build, not the 2.1 mm metal frame. Is there an MOQ?</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60" customWidth="1" min="3" max="3"/>
    <col width="40" customWidth="1" min="4" max="4"/>
    <col width="45" customWidth="1" min="5" max="5"/>
  </cols>
  <sheetData>
    <row r="1">
      <c r="A1" s="1" t="inlineStr">
        <is>
          <t>Checks before any bulk order</t>
        </is>
      </c>
    </row>
    <row r="2">
      <c r="A2" s="18" t="inlineStr">
        <is>
          <t>#</t>
        </is>
      </c>
      <c r="B2" s="18" t="inlineStr">
        <is>
          <t>When</t>
        </is>
      </c>
      <c r="C2" s="18" t="inlineStr">
        <is>
          <t>Check</t>
        </is>
      </c>
      <c r="D2" s="18" t="inlineStr">
        <is>
          <t>Why</t>
        </is>
      </c>
      <c r="E2" s="18" t="inlineStr">
        <is>
          <t>Pass if</t>
        </is>
      </c>
    </row>
    <row r="3">
      <c r="A3" s="7" t="n">
        <v>1</v>
      </c>
      <c r="B3" s="7" t="inlineStr">
        <is>
          <t>Before ANY board order for the knockoff</t>
        </is>
      </c>
      <c r="C3" s="7" t="inlineStr">
        <is>
          <t>Measure the knockoff: PCB outline, screw posts, ribs, key-mat contact positions, window, solar box. Compare to the v14 board.</t>
        </is>
      </c>
      <c r="D3" s="7" t="inlineStr">
        <is>
          <t>v14 was laid out for the fx-115ES (posts, key pads, rib grinds). A 991ES clone mould will likely differ.</t>
        </is>
      </c>
      <c r="E3" s="7" t="inlineStr">
        <is>
          <t>Paper dry-fit of the v14 outline (hardware/fitcheck) lands on the posts and every key pill sits on a pad; else plan a v15 outline.</t>
        </is>
      </c>
    </row>
    <row r="4">
      <c r="A4" s="7" t="n">
        <v>2</v>
      </c>
      <c r="B4" s="7" t="inlineStr">
        <is>
          <t>Samples</t>
        </is>
      </c>
      <c r="C4" s="7" t="inlineStr">
        <is>
          <t>Buy 2 samples of every part from 2 suppliers each before paying for 100.</t>
        </is>
      </c>
      <c r="D4" s="7" t="inlineStr">
        <is>
          <t>Listings change; photos are often generic.</t>
        </is>
      </c>
      <c r="E4" s="7" t="inlineStr">
        <is>
          <t>Each sample passes the spec checks on 'Supplier options'.</t>
        </is>
      </c>
    </row>
    <row r="5">
      <c r="A5" s="7" t="n">
        <v>3</v>
      </c>
      <c r="B5" s="7" t="inlineStr">
        <is>
          <t>Samples</t>
        </is>
      </c>
      <c r="C5" s="7" t="inlineStr">
        <is>
          <t>Clone mould consistency: buy the knockoff from 2 DIFFERENT orders (or sellers) and measure both.</t>
        </is>
      </c>
      <c r="D5" s="7" t="inlineStr">
        <is>
          <t>Same listing name can ship different moulds batch to batch.</t>
        </is>
      </c>
      <c r="E5" s="7" t="inlineStr">
        <is>
          <t>Key grid, posts and outline within ±0.2 mm; same key legends.</t>
        </is>
      </c>
    </row>
    <row r="6">
      <c r="A6" s="7" t="n">
        <v>4</v>
      </c>
      <c r="B6" s="7" t="inlineStr">
        <is>
          <t>Bulk order</t>
        </is>
      </c>
      <c r="C6" s="7" t="inlineStr">
        <is>
          <t>Ask the shell supplier to confirm the mould/model number in the PI and to send photos of the bulk goods before shipping.</t>
        </is>
      </c>
      <c r="D6" s="7" t="inlineStr">
        <is>
          <t>Stops a silent mould swap.</t>
        </is>
      </c>
      <c r="E6" s="7" t="inlineStr">
        <is>
          <t>PI lists the model + 'same as approved sample'.</t>
        </is>
      </c>
    </row>
    <row r="7">
      <c r="A7" s="7" t="n">
        <v>5</v>
      </c>
      <c r="B7" s="7" t="inlineStr">
        <is>
          <t>Camera</t>
        </is>
      </c>
      <c r="C7" s="7" t="inlineStr">
        <is>
          <t>Beep-test every new camera vendor: FPC fingers 2 and 15 to GND; run the self-test image.</t>
        </is>
      </c>
      <c r="D7" s="7" t="inlineStr">
        <is>
          <t>J1 is reversed for one cable direction; generic pinouts vary.</t>
        </is>
      </c>
      <c r="E7" s="7" t="inlineStr">
        <is>
          <t>Image OK, AF moves, no heat issue.</t>
        </is>
      </c>
    </row>
    <row r="8">
      <c r="A8" s="7" t="n">
        <v>6</v>
      </c>
      <c r="B8" s="7" t="inlineStr">
        <is>
          <t>E-paper</t>
        </is>
      </c>
      <c r="C8" s="7" t="inlineStr">
        <is>
          <t>Run the full and partial refresh test with the current firmware LUT.</t>
        </is>
      </c>
      <c r="D8" s="7" t="inlineStr">
        <is>
          <t>Panel revisions can need different init code.</t>
        </is>
      </c>
      <c r="E8" s="7" t="inlineStr">
        <is>
          <t>No ghosting; partial refresh works.</t>
        </is>
      </c>
    </row>
    <row r="9">
      <c r="A9" s="7" t="n">
        <v>7</v>
      </c>
      <c r="B9" s="7" t="inlineStr">
        <is>
          <t>Battery</t>
        </is>
      </c>
      <c r="C9" s="7" t="inlineStr">
        <is>
          <t>Check polarity on J4 with a meter BEFORE plugging in; read the UN38.3 summary model name.</t>
        </is>
      </c>
      <c r="D9" s="7" t="inlineStr">
        <is>
          <t>Reversed JST leads are common; reports must cover THIS cell.</t>
        </is>
      </c>
      <c r="E9" s="7" t="inlineStr">
        <is>
          <t>Red = + on J4 pad 2 (the "+" silk; pad 1 is GND); report names match label.</t>
        </is>
      </c>
    </row>
    <row r="10">
      <c r="A10" s="7" t="n">
        <v>8</v>
      </c>
      <c r="B10" s="7" t="inlineStr">
        <is>
          <t>Charging</t>
        </is>
      </c>
      <c r="C10" s="7" t="inlineStr">
        <is>
          <t>Mate cable + board connector; check USB enumeration and the ~50 mA charge current.</t>
        </is>
      </c>
      <c r="D10" s="7" t="inlineStr">
        <is>
          <t>Pin order N-&gt;S must give VBUS, D-, D+, GND at J3.</t>
        </is>
      </c>
      <c r="E10" s="7" t="inlineStr">
        <is>
          <t>COM port appears; charging LED/STAT OK.</t>
        </is>
      </c>
    </row>
    <row r="11">
      <c r="A11" s="7" t="n">
        <v>9</v>
      </c>
      <c r="B11" s="7" t="inlineStr">
        <is>
          <t>Payment</t>
        </is>
      </c>
      <c r="C11" s="7" t="inlineStr">
        <is>
          <t>Use Trade Assurance; pay 30 % deposit at most; keep all chat on-platform.</t>
        </is>
      </c>
      <c r="D11" s="7" t="inlineStr">
        <is>
          <t>Buyer protection.</t>
        </is>
      </c>
      <c r="E11" s="7" t="inlineStr">
        <is>
          <t>-</t>
        </is>
      </c>
    </row>
    <row r="12">
      <c r="A12" s="7" t="n">
        <v>10</v>
      </c>
      <c r="B12" s="7" t="inlineStr">
        <is>
          <t>Shipping</t>
        </is>
      </c>
      <c r="C12" s="7" t="inlineStr">
        <is>
          <t>Batteries ship as UN3481 with SDS; ask your forwarder before booking.</t>
        </is>
      </c>
      <c r="D12" s="7" t="inlineStr">
        <is>
          <t>DG refusal / fines.</t>
        </is>
      </c>
      <c r="E12" s="7" t="inlineStr">
        <is>
          <t>Forwarder confirms DG lane.</t>
        </is>
      </c>
    </row>
    <row r="13">
      <c r="A13" s="7" t="n">
        <v>11</v>
      </c>
      <c r="B13" s="7" t="inlineStr">
        <is>
          <t>Legal (before selling at scale)</t>
        </is>
      </c>
      <c r="C13" s="7" t="inlineStr">
        <is>
          <t>The knockoff mimics Casio's fx-991ES trade dress. OK for prototypes and free/labelled betas. Before selling at scale: move to the custom shell or a supplier with ITS OWN design, remove any branding/model names that copy Casio, and add 'not affiliated with Casio'.</t>
        </is>
      </c>
      <c r="D13" s="7" t="inlineStr">
        <is>
          <t>Trademark / trade-dress risk (roadmap §4).</t>
        </is>
      </c>
      <c r="E13" s="7" t="inlineStr">
        <is>
          <t>Lawyer/clinic check done; no Casio-like logo or name on the unit or box.</t>
        </is>
      </c>
    </row>
    <row r="14">
      <c r="A14" s="7" t="n">
        <v>12</v>
      </c>
      <c r="B14" s="7" t="inlineStr">
        <is>
          <t>Legal</t>
        </is>
      </c>
      <c r="C14" s="7" t="inlineStr">
        <is>
          <t>FCC SDoC, UN38.3 paperwork and LLC before selling (roadmap §4).</t>
        </is>
      </c>
      <c r="D14" s="7" t="inlineStr">
        <is>
          <t>Required to sell / ship.</t>
        </is>
      </c>
      <c r="E14" s="7" t="inlineStr">
        <is>
          <t>Docs on file.</t>
        </is>
      </c>
    </row>
    <row r="15">
      <c r="A15" s="7" t="n">
        <v>13</v>
      </c>
      <c r="B15" s="7" t="inlineStr">
        <is>
          <t>LCD (v15)</t>
        </is>
      </c>
      <c r="C15" s="7" t="inlineStr">
        <is>
          <t>Diode test on the first panels of every batch: LED drop (~2.6 V) between finger 20 and fingers 21-24 (ER-TFT019-1: cathode on 22); check the tail length (36.6 ± 0.3 mm), the frame thickness (plastic ~1.4 mm) and the controller (ST7789).</t>
        </is>
      </c>
      <c r="D15" s="7" t="inlineStr">
        <is>
          <t>J5 is numbered for one tail direction (verification/13 S1, confirmed on the ER-TFT019-1 drawing in verification/14); clone controllers need other init code.</t>
        </is>
      </c>
      <c r="E15" s="7" t="inlineStr">
        <is>
          <t>LED fingers in the TOP half of J5; colour bars + backlight sweep pass in the self-test.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6" customWidth="1" min="1" max="1"/>
    <col width="80" customWidth="1" min="2" max="2"/>
    <col width="90" customWidth="1" min="3" max="3"/>
  </cols>
  <sheetData>
    <row r="1">
      <c r="A1" s="1" t="inlineStr">
        <is>
          <t>Sources (checked 2026-10-05)</t>
        </is>
      </c>
    </row>
    <row r="2">
      <c r="A2" s="20" t="inlineStr">
        <is>
          <t>Ref</t>
        </is>
      </c>
      <c r="B2" s="20" t="inlineStr">
        <is>
          <t>What</t>
        </is>
      </c>
      <c r="C2" s="20" t="inlineStr">
        <is>
          <t>URL</t>
        </is>
      </c>
    </row>
    <row r="3">
      <c r="A3" s="21" t="inlineStr">
        <is>
          <t>S1</t>
        </is>
      </c>
      <c r="B3" s="22" t="inlineStr">
        <is>
          <t>Alibaba 991ES PLUS clone listing $3.25-3.99, MOQ 20 (Accio market summary)</t>
        </is>
      </c>
      <c r="C3" s="23" t="inlineStr">
        <is>
          <t>https://de.accio.com/business/casio-fx-es-991-bestseller</t>
        </is>
      </c>
    </row>
    <row r="4">
      <c r="A4" s="21" t="inlineStr">
        <is>
          <t>S2</t>
        </is>
      </c>
      <c r="B4" s="22" t="inlineStr">
        <is>
          <t>FX-991 clone wholesalers: Shantou Eates, Guangzhou Cania, Truly; $1.50-3.50 @3,000</t>
        </is>
      </c>
      <c r="C4" s="23" t="inlineStr">
        <is>
          <t>https://electronics.alibaba.com/supplier/scientific-calculator-fx-991-wholesaler</t>
        </is>
      </c>
    </row>
    <row r="5">
      <c r="A5" s="21" t="inlineStr">
        <is>
          <t>S3</t>
        </is>
      </c>
      <c r="B5" s="22" t="inlineStr">
        <is>
          <t>Alibaba OV5640 AF 24-pin OEM (V-Vision) and category price range</t>
        </is>
      </c>
      <c r="C5" s="23" t="inlineStr">
        <is>
          <t>https://www.alibaba.com/product-detail/Auto-Focus-OV5640-camera-OEM-24pin_60812933393.html</t>
        </is>
      </c>
    </row>
    <row r="6">
      <c r="A6" s="21" t="inlineStr">
        <is>
          <t>S4</t>
        </is>
      </c>
      <c r="B6" s="22" t="inlineStr">
        <is>
          <t>OV5640 AF 24-pin DVP module retail (eBay) GBP 7.49</t>
        </is>
      </c>
      <c r="C6" s="23" t="inlineStr">
        <is>
          <t>https://www.ebay.de/itm/187207860087</t>
        </is>
      </c>
    </row>
    <row r="7">
      <c r="A7" s="21" t="inlineStr">
        <is>
          <t>S5</t>
        </is>
      </c>
      <c r="B7" s="22" t="inlineStr">
        <is>
          <t>Good Display GDEY0213B74 specs (59.2 x 29.2 x 1.0 mm, 24-pin 0.5 mm, SSD1680Z)</t>
        </is>
      </c>
      <c r="C7" s="23" t="inlineStr">
        <is>
          <t>https://www.good-display.com/product/391.html</t>
        </is>
      </c>
    </row>
    <row r="8">
      <c r="A8" s="21" t="inlineStr">
        <is>
          <t>S6</t>
        </is>
      </c>
      <c r="B8" s="22" t="inlineStr">
        <is>
          <t>Alibaba 401230 100 mAh LiPo listings ($0.56-1.60)</t>
        </is>
      </c>
      <c r="C8" s="23" t="inlineStr">
        <is>
          <t>https://www.alibaba.com/showroom/401230-lipo-battery-3.7v-100mah.html</t>
        </is>
      </c>
    </row>
    <row r="9">
      <c r="A9" s="21" t="inlineStr">
        <is>
          <t>S7</t>
        </is>
      </c>
      <c r="B9" s="22" t="inlineStr">
        <is>
          <t>Alibaba MG04-254-RA 4-pin magnetic pogo $1.80 (multiples of 20); Dongguan pogo price ranges</t>
        </is>
      </c>
      <c r="C9" s="23" t="inlineStr">
        <is>
          <t>https://www.alibaba.com/product-detail/Horizontal-4-Pogo-Pin-Magnetic-Electrical_1600423063435.html</t>
        </is>
      </c>
    </row>
    <row r="10">
      <c r="A10" s="21" t="inlineStr">
        <is>
          <t>S8</t>
        </is>
      </c>
      <c r="B10" s="22" t="inlineStr">
        <is>
          <t>LAUNCH_ROADMAP.md §1, §3 (JLCPCB, Adafruit, Waveshare, Seeed, freight/duty table)</t>
        </is>
      </c>
      <c r="C10" s="22" t="inlineStr">
        <is>
          <t>Claude outputs/LAUNCH_ROADMAP.md</t>
        </is>
      </c>
    </row>
    <row r="11">
      <c r="A11" s="21" t="inlineStr">
        <is>
          <t>S9</t>
        </is>
      </c>
      <c r="B11" s="22" t="inlineStr">
        <is>
          <t>Alibaba gift boxes with foam insert, MOQ 100, $0.20-1.02</t>
        </is>
      </c>
      <c r="C11" s="23" t="inlineStr">
        <is>
          <t>https://www.alibaba.com/showroom/gift-boxes-with-foam-insert.html</t>
        </is>
      </c>
    </row>
    <row r="12">
      <c r="A12" s="21" t="inlineStr">
        <is>
          <t>S10</t>
        </is>
      </c>
      <c r="B12" s="22" t="inlineStr">
        <is>
          <t>Manual printing $0.03 (500-4,999) / $0.01 (10k+)</t>
        </is>
      </c>
      <c r="C12" s="23" t="inlineStr">
        <is>
          <t>https://sourcing.ship4wd.com/product/instruction-manual-custom-printing-factory-typesetting-design-advertising-brochure-custom-printing-employment-contract-employee-handbook</t>
        </is>
      </c>
    </row>
    <row r="13">
      <c r="A13" s="21" t="inlineStr">
        <is>
          <t>S11</t>
        </is>
      </c>
      <c r="B13" s="22" t="inlineStr">
        <is>
          <t>AliExpress 1.9" 30Pin ST7789 bare panel $2.82 + $5.27 shipping (seen 2026-10-08; hardware/LCD_PANEL_OPTIONS.md row B)</t>
        </is>
      </c>
      <c r="C13" s="23" t="inlineStr">
        <is>
          <t>hardware/LCD_PANEL_OPTIONS.md</t>
        </is>
      </c>
    </row>
    <row r="14">
      <c r="A14" s="21" t="inlineStr">
        <is>
          <t>S12</t>
        </is>
      </c>
      <c r="B14" s="22" t="inlineStr">
        <is>
          <t>NoseDisplay ND019TSN170320-A01 (custom FPC length offered)</t>
        </is>
      </c>
      <c r="C14" s="23" t="inlineStr">
        <is>
          <t>https://www.nosedisplay.com/products/1-9-inch-tft-display-170x320-resolution-spi-interface-st7789p3-controller-ips-screen/</t>
        </is>
      </c>
    </row>
    <row r="15">
      <c r="A15" s="21" t="inlineStr">
        <is>
          <t>S13</t>
        </is>
      </c>
      <c r="B15" s="22" t="inlineStr">
        <is>
          <t>BuyDisplay ER-TFT019-1 1.9" 170x320 ST7789P3 (datasheet rev 2.0 checked 2026-10-08, verification/14): ~$6-7, $6.22 @10, $5.71 @100</t>
        </is>
      </c>
      <c r="C15" s="23" t="inlineStr">
        <is>
          <t>https://www.buydisplay.com/full-viewing-angle-spi-1-9-inch-ips-tft-lcd-display-panel-170x320-st7789</t>
        </is>
      </c>
    </row>
    <row r="16">
      <c r="A16" s="21" t="inlineStr">
        <is>
          <t>S14</t>
        </is>
      </c>
      <c r="B16" s="22" t="inlineStr">
        <is>
          <t>Adafruit #5394 1.9" 320x170 IPS breakout $17.50 / #258 1,200 mAh LiPo $9.95</t>
        </is>
      </c>
      <c r="C16" s="23" t="inlineStr">
        <is>
          <t>https://www.adafruit.com/product/5394</t>
        </is>
      </c>
    </row>
    <row r="17">
      <c r="A17" s="21" t="inlineStr">
        <is>
          <t>S15</t>
        </is>
      </c>
      <c r="B17" s="22" t="inlineStr">
        <is>
          <t>Alibaba LCD search 2026-10-08 (Goldenmorning sample $1.85-2.50; ZJY $2.50 @100 / $2.30 @1,000): hardware/production/lcd_suppliers.json</t>
        </is>
      </c>
      <c r="C17" s="23" t="inlineStr">
        <is>
          <t>https://www.alibaba.com/product-detail/1-9-Inch-170x320-30-PIN_1600647344150.html</t>
        </is>
      </c>
    </row>
    <row r="18">
      <c r="A18" s="21" t="inlineStr">
        <is>
          <t>Note</t>
        </is>
      </c>
      <c r="B18" s="22" t="inlineStr">
        <is>
          <t>Alibaba product pages returned a CAPTCHA to automated reading on 2026-10-05; numbers are from search-index snippets and must be confirmed by RFQ.</t>
        </is>
      </c>
      <c r="C18" s="22" t="inlineStr"/>
    </row>
  </sheetData>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1" r:id="rId8"/>
    <hyperlink xmlns:r="http://schemas.openxmlformats.org/officeDocument/2006/relationships" ref="C12"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2026-10-05T14:00:38Z</dcterms:created>
  <dcterms:modified xsi:type="dcterms:W3CDTF">2026-10-10T23:12:48Z</dcterms:modified>
</cp:coreProperties>
</file>